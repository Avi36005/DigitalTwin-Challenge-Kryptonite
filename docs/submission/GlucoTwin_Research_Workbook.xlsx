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Index" sheetId="1" state="visible" r:id="rId1"/>
    <sheet xmlns:r="http://schemas.openxmlformats.org/officeDocument/2006/relationships" name="Sources" sheetId="2" state="visible" r:id="rId2"/>
    <sheet xmlns:r="http://schemas.openxmlformats.org/officeDocument/2006/relationships" name="Cohorts" sheetId="3" state="visible" r:id="rId3"/>
    <sheet xmlns:r="http://schemas.openxmlformats.org/officeDocument/2006/relationships" name="Forecasts" sheetId="4" state="visible" r:id="rId4"/>
    <sheet xmlns:r="http://schemas.openxmlformats.org/officeDocument/2006/relationships" name="WarningRanges" sheetId="5" state="visible" r:id="rId5"/>
    <sheet xmlns:r="http://schemas.openxmlformats.org/officeDocument/2006/relationships" name="Studies" sheetId="6" state="visible" r:id="rId6"/>
    <sheet xmlns:r="http://schemas.openxmlformats.org/officeDocument/2006/relationships" name="Gates" sheetId="7" state="visible" r:id="rId7"/>
    <sheet xmlns:r="http://schemas.openxmlformats.org/officeDocument/2006/relationships" name="Verification" sheetId="8" state="visible" r:id="rId8"/>
    <sheet xmlns:r="http://schemas.openxmlformats.org/officeDocument/2006/relationships" name="Guardrails" sheetId="9" state="visible" r:id="rId9"/>
    <sheet xmlns:r="http://schemas.openxmlformats.org/officeDocument/2006/relationships" name="About" sheetId="10" state="visible" r:id="rId10"/>
  </sheets>
  <definedNames>
    <definedName name="_xlnm._FilterDatabase" localSheetId="0" hidden="1">'ClaimIndex'!$A$15:$M$288</definedName>
    <definedName name="_xlnm.Print_Titles" localSheetId="0">'ClaimIndex'!$15:$15</definedName>
    <definedName name="_xlnm._FilterDatabase" localSheetId="1" hidden="1">'Sources'!$A$4:$K$524</definedName>
    <definedName name="_xlnm.Print_Titles" localSheetId="1">'Sources'!$4:$4</definedName>
    <definedName name="_xlnm._FilterDatabase" localSheetId="2" hidden="1">'Cohorts'!$A$4:$N$12</definedName>
    <definedName name="_xlnm.Print_Titles" localSheetId="2">'Cohorts'!$4:$4</definedName>
    <definedName name="_xlnm._FilterDatabase" localSheetId="3" hidden="1">'Forecasts'!$A$4:$N$36</definedName>
    <definedName name="_xlnm.Print_Titles" localSheetId="3">'Forecasts'!$4:$4</definedName>
    <definedName name="_xlnm._FilterDatabase" localSheetId="4" hidden="1">'WarningRanges'!$A$4:$J$58</definedName>
    <definedName name="_xlnm.Print_Titles" localSheetId="4">'WarningRanges'!$4:$4</definedName>
    <definedName name="_xlnm._FilterDatabase" localSheetId="5" hidden="1">'Studies'!$A$4:$S$17</definedName>
    <definedName name="_xlnm.Print_Titles" localSheetId="5">'Studies'!$4:$4</definedName>
    <definedName name="_xlnm._FilterDatabase" localSheetId="6" hidden="1">'Gates'!$A$4:$K$43</definedName>
    <definedName name="_xlnm.Print_Titles" localSheetId="6">'Gates'!$4:$4</definedName>
    <definedName name="_xlnm._FilterDatabase" localSheetId="7" hidden="1">'Verification'!$A$4:$Q$56</definedName>
    <definedName name="_xlnm.Print_Titles" localSheetId="7">'Verification'!$4:$4</definedName>
    <definedName name="_xlnm._FilterDatabase" localSheetId="8" hidden="1">'Guardrails'!$A$4:$G$20</definedName>
    <definedName name="_xlnm.Print_Titles" localSheetId="8">'Guardrails'!$4:$4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000"/>
    <numFmt numFmtId="165" formatCode="yyyy-mm-dd h:mm:ss"/>
    <numFmt numFmtId="166" formatCode="yyyy-mm-dd hh:mm:ss"/>
    <numFmt numFmtId="167" formatCode="0.0"/>
    <numFmt numFmtId="168" formatCode="#,##0.##"/>
    <numFmt numFmtId="169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111827"/>
      <sz val="14"/>
    </font>
    <font>
      <name val="Calibri"/>
      <i val="1"/>
      <color rgb="006B7280"/>
    </font>
    <font>
      <name val="Calibri"/>
      <color rgb="002563EB"/>
      <u val="single"/>
    </font>
    <font>
      <name val="Calibri"/>
      <b val="1"/>
      <color rgb="00FFFFFF"/>
    </font>
    <font>
      <b val="1"/>
      <color rgb="00111827"/>
    </font>
    <font>
      <b val="1"/>
      <color rgb="002563EB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4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166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67" fontId="0" fillId="0" borderId="1" applyAlignment="1" pivotButton="0" quotePrefix="0" xfId="0">
      <alignment vertical="top" wrapText="1"/>
    </xf>
    <xf numFmtId="2" fontId="0" fillId="0" borderId="0" pivotButton="0" quotePrefix="0" xfId="0"/>
    <xf numFmtId="1" fontId="0" fillId="0" borderId="1" applyAlignment="1" pivotButton="0" quotePrefix="0" xfId="0">
      <alignment vertical="top" wrapText="1"/>
    </xf>
    <xf numFmtId="168" fontId="0" fillId="0" borderId="1" applyAlignment="1" pivotButton="0" quotePrefix="0" xfId="0">
      <alignment vertical="top" wrapText="1"/>
    </xf>
    <xf numFmtId="169" fontId="0" fillId="0" borderId="1" applyAlignment="1" pivotButton="0" quotePrefix="0" xfId="0">
      <alignment vertical="top" wrapText="1"/>
    </xf>
    <xf numFmtId="169" fontId="0" fillId="0" borderId="0" pivotButton="0" quotePrefix="0" xfId="0"/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Serving test MAE vs persistence (mg/dL, lower is better)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'Forecasts'!B40</f>
            </strRef>
          </tx>
          <spPr>
            <a:solidFill xmlns:a="http://schemas.openxmlformats.org/drawingml/2006/main">
              <a:srgbClr val="2563EB"/>
            </a:solidFill>
            <a:ln xmlns:a="http://schemas.openxmlformats.org/drawingml/2006/main">
              <a:prstDash val="solid"/>
            </a:ln>
          </spPr>
          <cat>
            <numRef>
              <f>'Forecasts'!$A$41:$A$42</f>
            </numRef>
          </cat>
          <val>
            <numRef>
              <f>'Forecasts'!$B$41:$B$42</f>
            </numRef>
          </val>
        </ser>
        <ser>
          <idx val="1"/>
          <order val="1"/>
          <tx>
            <strRef>
              <f>'Forecasts'!C40</f>
            </strRef>
          </tx>
          <spPr>
            <a:solidFill xmlns:a="http://schemas.openxmlformats.org/drawingml/2006/main">
              <a:srgbClr val="9CA3AF"/>
            </a:solidFill>
            <a:ln xmlns:a="http://schemas.openxmlformats.org/drawingml/2006/main">
              <a:prstDash val="solid"/>
            </a:ln>
          </spPr>
          <cat>
            <numRef>
              <f>'Forecasts'!$A$41:$A$42</f>
            </numRef>
          </cat>
          <val>
            <numRef>
              <f>'Forecasts'!$C$41:$C$42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MAE (mg/dL)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80 % prediction-range coverage vs the 80 % target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'WarningRanges'!B62</f>
            </strRef>
          </tx>
          <spPr>
            <a:solidFill xmlns:a="http://schemas.openxmlformats.org/drawingml/2006/main">
              <a:srgbClr val="2563EB"/>
            </a:solidFill>
            <a:ln xmlns:a="http://schemas.openxmlformats.org/drawingml/2006/main">
              <a:prstDash val="solid"/>
            </a:ln>
          </spPr>
          <cat>
            <numRef>
              <f>'WarningRanges'!$A$63:$A$73</f>
            </numRef>
          </cat>
          <val>
            <numRef>
              <f>'WarningRanges'!$B$63:$B$73</f>
            </numRef>
          </val>
        </ser>
        <ser>
          <idx val="1"/>
          <order val="1"/>
          <tx>
            <strRef>
              <f>'WarningRanges'!C62</f>
            </strRef>
          </tx>
          <spPr>
            <a:solidFill xmlns:a="http://schemas.openxmlformats.org/drawingml/2006/main">
              <a:srgbClr val="D1D5DB"/>
            </a:solidFill>
            <a:ln xmlns:a="http://schemas.openxmlformats.org/drawingml/2006/main">
              <a:prstDash val="solid"/>
            </a:ln>
          </spPr>
          <cat>
            <numRef>
              <f>'WarningRanges'!$A$63:$A$73</f>
            </numRef>
          </cat>
          <val>
            <numRef>
              <f>'WarningRanges'!$C$63:$C$73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0.9"/>
          <min val="0.6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Coverage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38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60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About'!A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#'About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About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About'!A1" TargetMode="External" Id="rId1"/><Relationship Type="http://schemas.openxmlformats.org/officeDocument/2006/relationships/drawing" Target="/xl/drawings/drawing1.xml" Id="rId2"/></Relationships>
</file>

<file path=xl/worksheets/_rels/sheet5.xml.rels><Relationships xmlns="http://schemas.openxmlformats.org/package/2006/relationships"><Relationship Type="http://schemas.openxmlformats.org/officeDocument/2006/relationships/hyperlink" Target="#'About'!A1" TargetMode="External" Id="rId1"/><Relationship Type="http://schemas.openxmlformats.org/officeDocument/2006/relationships/drawing" Target="/xl/drawings/drawing2.xml" Id="rId2"/></Relationships>
</file>

<file path=xl/worksheets/_rels/sheet6.xml.rels><Relationships xmlns="http://schemas.openxmlformats.org/package/2006/relationships"><Relationship Type="http://schemas.openxmlformats.org/officeDocument/2006/relationships/hyperlink" Target="#'About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About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About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About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ClaimIndex'!A1" TargetMode="External" Id="rId1"/><Relationship Type="http://schemas.openxmlformats.org/officeDocument/2006/relationships/hyperlink" Target="#'Sources'!A1" TargetMode="External" Id="rId2"/><Relationship Type="http://schemas.openxmlformats.org/officeDocument/2006/relationships/hyperlink" Target="#'Cohorts'!A1" TargetMode="External" Id="rId3"/><Relationship Type="http://schemas.openxmlformats.org/officeDocument/2006/relationships/hyperlink" Target="#'Forecasts'!A1" TargetMode="External" Id="rId4"/><Relationship Type="http://schemas.openxmlformats.org/officeDocument/2006/relationships/hyperlink" Target="#'WarningRanges'!A1" TargetMode="External" Id="rId5"/><Relationship Type="http://schemas.openxmlformats.org/officeDocument/2006/relationships/hyperlink" Target="#'Studies'!A1" TargetMode="External" Id="rId6"/><Relationship Type="http://schemas.openxmlformats.org/officeDocument/2006/relationships/hyperlink" Target="#'Gates'!A1" TargetMode="External" Id="rId7"/><Relationship Type="http://schemas.openxmlformats.org/officeDocument/2006/relationships/hyperlink" Target="#'Verification'!A1" TargetMode="External" Id="rId8"/><Relationship Type="http://schemas.openxmlformats.org/officeDocument/2006/relationships/hyperlink" Target="#'Guardrails'!A1" TargetMode="External" Id="rId9"/></Relationships>
</file>

<file path=xl/worksheets/sheet1.xml><?xml version="1.0" encoding="utf-8"?>
<worksheet xmlns="http://schemas.openxmlformats.org/spreadsheetml/2006/main">
  <sheetPr>
    <tabColor rgb="002563EB"/>
    <outlinePr summaryBelow="1" summaryRight="1"/>
    <pageSetUpPr fitToPage="1"/>
  </sheetPr>
  <dimension ref="A1:M288"/>
  <sheetViews>
    <sheetView showGridLines="1" zoomScale="100" workbookViewId="0">
      <pane xSplit="2" ySplit="15" topLeftCell="C16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4" customWidth="1" min="2" max="2"/>
    <col width="30" customWidth="1" min="3" max="3"/>
    <col width="34" customWidth="1" min="4" max="4"/>
    <col width="18" customWidth="1" min="5" max="5"/>
    <col width="30" customWidth="1" min="6" max="6"/>
    <col width="13" customWidth="1" min="7" max="7"/>
    <col width="11" customWidth="1" min="8" max="8"/>
    <col width="8" customWidth="1" min="9" max="9"/>
    <col width="12" customWidth="1" min="10" max="10"/>
    <col width="44" customWidth="1" min="11" max="11"/>
    <col width="36" customWidth="1" min="12" max="12"/>
    <col width="36" customWidth="1" min="13" max="13"/>
  </cols>
  <sheetData>
    <row r="1">
      <c r="A1" s="1" t="inlineStr">
        <is>
          <t>ClaimIndex — every public claim, its evidence and status</t>
        </is>
      </c>
      <c r="H1" s="2" t="inlineStr">
        <is>
          <t>About / navigation →</t>
        </is>
      </c>
    </row>
    <row r="2">
      <c r="A2" s="3" t="inlineStr">
        <is>
          <t>A source match is not clinical validation. Status counts below are live COUNTIF formulas. Workbook value = formula over Sources; Check = stated value within half a unit of its last decimal of the workbook value.</t>
        </is>
      </c>
    </row>
    <row r="3">
      <c r="B3" s="4" t="inlineStr">
        <is>
          <t>Status</t>
        </is>
      </c>
      <c r="C3" s="4" t="inlineStr">
        <is>
          <t>Claims</t>
        </is>
      </c>
    </row>
    <row r="4">
      <c r="B4" s="4" t="inlineStr">
        <is>
          <t>supported</t>
        </is>
      </c>
      <c r="C4" s="5">
        <f>COUNTIF($E$16:$E$288,B4)</f>
        <v/>
      </c>
      <c r="D4" s="3" t="inlineStr">
        <is>
          <t>The stated value or fact matches a saved artifact, report or dataset record named in Sources.</t>
        </is>
      </c>
    </row>
    <row r="5">
      <c r="B5" s="4" t="inlineStr">
        <is>
          <t>supported-arithmetic</t>
        </is>
      </c>
      <c r="C5" s="5">
        <f>COUNTIF($E$16:$E$288,B5)</f>
        <v/>
      </c>
      <c r="D5" s="3" t="inlineStr">
        <is>
          <t>Follows by arithmetic from stated definitions (formula shown); no experiment involved.</t>
        </is>
      </c>
    </row>
    <row r="6">
      <c r="B6" s="4" t="inlineStr">
        <is>
          <t>tested</t>
        </is>
      </c>
      <c r="C6" s="5">
        <f>COUNTIF($E$16:$E$288,B6)</f>
        <v/>
      </c>
      <c r="D6" s="3" t="inlineStr">
        <is>
          <t>Behaviour covered by a test that passed in the saved test record (JUnit) named in the row.</t>
        </is>
      </c>
    </row>
    <row r="7">
      <c r="B7" s="4" t="inlineStr">
        <is>
          <t>implemented</t>
        </is>
      </c>
      <c r="C7" s="5">
        <f>COUNTIF($E$16:$E$288,B7)</f>
        <v/>
      </c>
      <c r="D7" s="3" t="inlineStr">
        <is>
          <t>Present in code or configuration only; no saved passing test is cited for the behaviour.</t>
        </is>
      </c>
    </row>
    <row r="8">
      <c r="B8" s="4" t="inlineStr">
        <is>
          <t>negative-result</t>
        </is>
      </c>
      <c r="C8" s="5">
        <f>COUNTIF($E$16:$E$288,B8)</f>
        <v/>
      </c>
      <c r="D8" s="3" t="inlineStr">
        <is>
          <t>A saved study result that did not meet its declared bar; reported as negative, not as a gain.</t>
        </is>
      </c>
    </row>
    <row r="9">
      <c r="B9" s="4" t="inlineStr">
        <is>
          <t>author-reported</t>
        </is>
      </c>
      <c r="C9" s="5">
        <f>COUNTIF($E$16:$E$288,B9)</f>
        <v/>
      </c>
      <c r="D9" s="3" t="inlineStr">
        <is>
          <t>Stated by the team without a saved log, artifact or primary source in the repository.</t>
        </is>
      </c>
    </row>
    <row r="10">
      <c r="B10" s="4" t="inlineStr">
        <is>
          <t>proposed/illustrative</t>
        </is>
      </c>
      <c r="C10" s="5">
        <f>COUNTIF($E$16:$E$288,B10)</f>
        <v/>
      </c>
      <c r="D10" s="3" t="inlineStr">
        <is>
          <t>A proposal, scenario or illustration; not an evidential claim.</t>
        </is>
      </c>
    </row>
    <row r="11">
      <c r="B11" s="4" t="inlineStr">
        <is>
          <t>pending</t>
        </is>
      </c>
      <c r="C11" s="5">
        <f>COUNTIF($E$16:$E$288,B11)</f>
        <v/>
      </c>
      <c r="D11" s="3" t="inlineStr">
        <is>
          <t>Evidence is not on this installation or a primary-source check is still to be done.</t>
        </is>
      </c>
    </row>
    <row r="12">
      <c r="B12" s="4" t="inlineStr">
        <is>
          <t>unsupported/contradicted</t>
        </is>
      </c>
      <c r="C12" s="5">
        <f>COUNTIF($E$16:$E$288,B12)</f>
        <v/>
      </c>
      <c r="D12" s="3" t="inlineStr">
        <is>
          <t>The saved source disagrees with the stated value, or no support exists.</t>
        </is>
      </c>
    </row>
    <row r="13">
      <c r="B13" s="4" t="inlineStr">
        <is>
          <t>total</t>
        </is>
      </c>
      <c r="C13" s="5">
        <f>COUNTA($A$16:$A$288)</f>
        <v/>
      </c>
    </row>
    <row r="15" ht="32" customHeight="1">
      <c r="A15" s="6" t="inlineStr">
        <is>
          <t>Claim ID</t>
        </is>
      </c>
      <c r="B15" s="6" t="inlineStr">
        <is>
          <t>Exact claim</t>
        </is>
      </c>
      <c r="C15" s="6" t="inlineStr">
        <is>
          <t>Location(s)</t>
        </is>
      </c>
      <c r="D15" s="6" t="inlineStr">
        <is>
          <t>Evaluation / model scope</t>
        </is>
      </c>
      <c r="E15" s="6" t="inlineStr">
        <is>
          <t>Status</t>
        </is>
      </c>
      <c r="F15" s="6" t="inlineStr">
        <is>
          <t>Source IDs</t>
        </is>
      </c>
      <c r="G15" s="6" t="inlineStr">
        <is>
          <t>Workbook value (formula)</t>
        </is>
      </c>
      <c r="H15" s="6" t="inlineStr">
        <is>
          <t>Stated value</t>
        </is>
      </c>
      <c r="I15" s="6" t="inlineStr">
        <is>
          <t>Decimals</t>
        </is>
      </c>
      <c r="J15" s="6" t="inlineStr">
        <is>
          <t>Check</t>
        </is>
      </c>
      <c r="K15" s="6" t="inlineStr">
        <is>
          <t>Material limitation</t>
        </is>
      </c>
      <c r="L15" s="6" t="inlineStr">
        <is>
          <t>Unresolved action</t>
        </is>
      </c>
      <c r="M15" s="6" t="inlineStr">
        <is>
          <t>Manifest group | check</t>
        </is>
      </c>
    </row>
    <row r="16">
      <c r="A16" s="7" t="inlineStr">
        <is>
          <t>C-SRV-01</t>
        </is>
      </c>
      <c r="B16" s="7" t="inlineStr">
        <is>
          <t>The app serves lightgbm.dyn-prof-v2.gt-primary-2026-10-13-fusion for recorded data</t>
        </is>
      </c>
      <c r="C16" s="7" t="inlineStr">
        <is>
          <t>README.md (Results at a glance); reports/evidence_manifest.md; README §7</t>
        </is>
      </c>
      <c r="D16" s="7" t="inlineStr">
        <is>
          <t>Software configuration</t>
        </is>
      </c>
      <c r="E16" s="7" t="inlineStr">
        <is>
          <t>supported</t>
        </is>
      </c>
      <c r="F16" s="7" t="inlineStr">
        <is>
          <t>reg.serving; registry</t>
        </is>
      </c>
      <c r="G16" s="7" t="inlineStr">
        <is>
          <t>—</t>
        </is>
      </c>
      <c r="H16" s="7" t="inlineStr">
        <is>
          <t>—</t>
        </is>
      </c>
      <c r="I16" s="7" t="n"/>
      <c r="J16" s="7" t="inlineStr">
        <is>
          <t>—</t>
        </is>
      </c>
      <c r="K16" s="7" t="inlineStr"/>
      <c r="L16" s="7" t="inlineStr"/>
      <c r="M16" s="7" t="inlineStr">
        <is>
          <t>serving-identity | serving model (recorded data)</t>
        </is>
      </c>
    </row>
    <row r="17">
      <c r="A17" s="7" t="inlineStr">
        <is>
          <t>C-FC-01</t>
        </is>
      </c>
      <c r="B17" s="7" t="inlineStr">
        <is>
          <t>Serving MAE 12.96 mg/dL at 30 min</t>
        </is>
      </c>
      <c r="C17" s="7" t="inlineStr">
        <is>
          <t>README.md (Results at a glance); reports/evidence_manifest.md; Deck s11; Deck s13; narration scene 8</t>
        </is>
      </c>
      <c r="D17" s="7" t="inlineStr">
        <is>
          <t>Serving model, final test segment (later recordings of the same 14 people; retrospective, inspected)</t>
        </is>
      </c>
      <c r="E17" s="7" t="inlineStr">
        <is>
          <t>supported</t>
        </is>
      </c>
      <c r="F17" s="7" t="inlineStr">
        <is>
          <t>fus.serv.mae30</t>
        </is>
      </c>
      <c r="G17" s="8">
        <f>IF(AND(ISNUMBER(Sources!$C$25)),Sources!$C$25,"unavailable")</f>
        <v/>
      </c>
      <c r="H17" s="7" t="n">
        <v>12.96</v>
      </c>
      <c r="I17" s="7" t="n">
        <v>2</v>
      </c>
      <c r="J17" s="7">
        <f>IF(ISNUMBER(G17),IF(ABS(G17-H17)&lt;=0.5*10^(-I17)+1E-9,"matches","MISMATCH"),"pending")</f>
        <v/>
      </c>
      <c r="K17" s="7" t="inlineStr">
        <is>
          <t>Same 14 people as training; macro over participants</t>
        </is>
      </c>
      <c r="L17" s="7" t="inlineStr"/>
      <c r="M17" s="7" t="inlineStr">
        <is>
          <t>demo-forecast | MAE 30</t>
        </is>
      </c>
    </row>
    <row r="18">
      <c r="A18" s="7" t="inlineStr">
        <is>
          <t>C-FC-02</t>
        </is>
      </c>
      <c r="B18" s="7" t="inlineStr">
        <is>
          <t>Serving MAE 20.26 mg/dL at 60 min</t>
        </is>
      </c>
      <c r="C18" s="7" t="inlineStr">
        <is>
          <t>README.md (Results at a glance); reports/evidence_manifest.md; Deck s11; Deck s13</t>
        </is>
      </c>
      <c r="D18" s="7" t="inlineStr">
        <is>
          <t>Serving model, final test segment (later recordings of the same 14 people; retrospective, inspected)</t>
        </is>
      </c>
      <c r="E18" s="7" t="inlineStr">
        <is>
          <t>supported</t>
        </is>
      </c>
      <c r="F18" s="7" t="inlineStr">
        <is>
          <t>fus.serv.mae60</t>
        </is>
      </c>
      <c r="G18" s="8">
        <f>IF(AND(ISNUMBER(Sources!$C$29)),Sources!$C$29,"unavailable")</f>
        <v/>
      </c>
      <c r="H18" s="7" t="n">
        <v>20.26</v>
      </c>
      <c r="I18" s="7" t="n">
        <v>2</v>
      </c>
      <c r="J18" s="7">
        <f>IF(ISNUMBER(G18),IF(ABS(G18-H18)&lt;=0.5*10^(-I18)+1E-9,"matches","MISMATCH"),"pending")</f>
        <v/>
      </c>
      <c r="K18" s="7" t="inlineStr">
        <is>
          <t>Same 14 people as training</t>
        </is>
      </c>
      <c r="L18" s="7" t="inlineStr"/>
      <c r="M18" s="7" t="inlineStr">
        <is>
          <t>demo-forecast | MAE 60</t>
        </is>
      </c>
    </row>
    <row r="19">
      <c r="A19" s="7" t="inlineStr">
        <is>
          <t>C-FC-03</t>
        </is>
      </c>
      <c r="B19" s="7" t="inlineStr">
        <is>
          <t>Persistence MAE 14.84 mg/dL at 30 min (same origins)</t>
        </is>
      </c>
      <c r="C19" s="7" t="inlineStr">
        <is>
          <t>README.md (Results at a glance); reports/evidence_manifest.md; Deck s11; Deck s13</t>
        </is>
      </c>
      <c r="D19" s="7" t="inlineStr">
        <is>
          <t>Serving model, final test segment (later recordings of the same 14 people; retrospective, inspected)</t>
        </is>
      </c>
      <c r="E19" s="7" t="inlineStr">
        <is>
          <t>supported</t>
        </is>
      </c>
      <c r="F19" s="7" t="inlineStr">
        <is>
          <t>fus.pers.mae30</t>
        </is>
      </c>
      <c r="G19" s="8">
        <f>IF(AND(ISNUMBER(Sources!$C$5)),Sources!$C$5,"unavailable")</f>
        <v/>
      </c>
      <c r="H19" s="7" t="n">
        <v>14.84</v>
      </c>
      <c r="I19" s="7" t="n">
        <v>2</v>
      </c>
      <c r="J19" s="7">
        <f>IF(ISNUMBER(G19),IF(ABS(G19-H19)&lt;=0.5*10^(-I19)+1E-9,"matches","MISMATCH"),"pending")</f>
        <v/>
      </c>
      <c r="K19" s="7" t="inlineStr"/>
      <c r="L19" s="7" t="inlineStr"/>
      <c r="M19" s="7" t="inlineStr">
        <is>
          <t>demo-forecast | persistence 30</t>
        </is>
      </c>
    </row>
    <row r="20">
      <c r="A20" s="7" t="inlineStr">
        <is>
          <t>C-FC-04</t>
        </is>
      </c>
      <c r="B20" s="7" t="inlineStr">
        <is>
          <t>Persistence MAE 23.23 mg/dL at 60 min (same origins)</t>
        </is>
      </c>
      <c r="C20" s="7" t="inlineStr">
        <is>
          <t>README.md (Results at a glance); reports/evidence_manifest.md; Deck s11; Deck s13</t>
        </is>
      </c>
      <c r="D20" s="7" t="inlineStr">
        <is>
          <t>Serving model, final test segment (later recordings of the same 14 people; retrospective, inspected)</t>
        </is>
      </c>
      <c r="E20" s="7" t="inlineStr">
        <is>
          <t>supported</t>
        </is>
      </c>
      <c r="F20" s="7" t="inlineStr">
        <is>
          <t>fus.pers.mae60</t>
        </is>
      </c>
      <c r="G20" s="8">
        <f>IF(AND(ISNUMBER(Sources!$C$7)),Sources!$C$7,"unavailable")</f>
        <v/>
      </c>
      <c r="H20" s="7" t="n">
        <v>23.23</v>
      </c>
      <c r="I20" s="7" t="n">
        <v>2</v>
      </c>
      <c r="J20" s="7">
        <f>IF(ISNUMBER(G20),IF(ABS(G20-H20)&lt;=0.5*10^(-I20)+1E-9,"matches","MISMATCH"),"pending")</f>
        <v/>
      </c>
      <c r="K20" s="7" t="inlineStr"/>
      <c r="L20" s="7" t="inlineStr"/>
      <c r="M20" s="7" t="inlineStr">
        <is>
          <t>demo-forecast | persistence 60</t>
        </is>
      </c>
    </row>
    <row r="21">
      <c r="A21" s="7" t="inlineStr">
        <is>
          <t>C-WN-01</t>
        </is>
      </c>
      <c r="B21" s="7" t="inlineStr">
        <is>
          <t>61 new high-glucose onsets warned (60-min warning)</t>
        </is>
      </c>
      <c r="C21" s="7" t="inlineStr">
        <is>
          <t>README.md (Results at a glance); reports/evidence_manifest.md; Deck s13</t>
        </is>
      </c>
      <c r="D21" s="7" t="inlineStr">
        <is>
          <t>Serving model, final test segment (later recordings of the same 14 people; retrospective, inspected)</t>
        </is>
      </c>
      <c r="E21" s="7" t="inlineStr">
        <is>
          <t>supported</t>
        </is>
      </c>
      <c r="F21" s="7" t="inlineStr">
        <is>
          <t>fus.ev.detected_onsets</t>
        </is>
      </c>
      <c r="G21" s="8">
        <f>IF(AND(ISNUMBER(Sources!$C$62)),Sources!$C$62,"unavailable")</f>
        <v/>
      </c>
      <c r="H21" s="7" t="n">
        <v>61</v>
      </c>
      <c r="I21" s="7" t="n">
        <v>0</v>
      </c>
      <c r="J21" s="7">
        <f>IF(ISNUMBER(G21),IF(ABS(G21-H21)&lt;=0.5*10^(-I21)+1E-9,"matches","MISMATCH"),"pending")</f>
        <v/>
      </c>
      <c r="K21" s="7" t="inlineStr">
        <is>
          <t>Research event definition; not triage</t>
        </is>
      </c>
      <c r="L21" s="7" t="inlineStr"/>
      <c r="M21" s="7" t="inlineStr">
        <is>
          <t>demo-warning | onsets warned</t>
        </is>
      </c>
    </row>
    <row r="22">
      <c r="A22" s="7" t="inlineStr">
        <is>
          <t>C-WN-02</t>
        </is>
      </c>
      <c r="B22" s="7" t="inlineStr">
        <is>
          <t>64 new high-glucose onsets in the final test segment</t>
        </is>
      </c>
      <c r="C22" s="7" t="inlineStr">
        <is>
          <t>README.md (Results at a glance); reports/evidence_manifest.md; Deck s13</t>
        </is>
      </c>
      <c r="D22" s="7" t="inlineStr">
        <is>
          <t>Serving model, final test segment (later recordings of the same 14 people; retrospective, inspected)</t>
        </is>
      </c>
      <c r="E22" s="7" t="inlineStr">
        <is>
          <t>supported</t>
        </is>
      </c>
      <c r="F22" s="7" t="inlineStr">
        <is>
          <t>fus.ev.true_onsets</t>
        </is>
      </c>
      <c r="G22" s="8">
        <f>IF(AND(ISNUMBER(Sources!$C$61)),Sources!$C$61,"unavailable")</f>
        <v/>
      </c>
      <c r="H22" s="7" t="n">
        <v>64</v>
      </c>
      <c r="I22" s="7" t="n">
        <v>0</v>
      </c>
      <c r="J22" s="7">
        <f>IF(ISNUMBER(G22),IF(ABS(G22-H22)&lt;=0.5*10^(-I22)+1E-9,"matches","MISMATCH"),"pending")</f>
        <v/>
      </c>
      <c r="K22" s="7" t="inlineStr">
        <is>
          <t>Onsets ≠ origins ≠ participants</t>
        </is>
      </c>
      <c r="L22" s="7" t="inlineStr"/>
      <c r="M22" s="7" t="inlineStr">
        <is>
          <t>demo-warning | onsets</t>
        </is>
      </c>
    </row>
    <row r="23">
      <c r="A23" s="7" t="inlineStr">
        <is>
          <t>C-WN-03</t>
        </is>
      </c>
      <c r="B23" s="7" t="inlineStr">
        <is>
          <t>40 false alarms</t>
        </is>
      </c>
      <c r="C23" s="7" t="inlineStr">
        <is>
          <t>README.md (Results at a glance); reports/evidence_manifest.md</t>
        </is>
      </c>
      <c r="D23" s="7" t="inlineStr">
        <is>
          <t>Serving model, final test segment (later recordings of the same 14 people; retrospective, inspected)</t>
        </is>
      </c>
      <c r="E23" s="7" t="inlineStr">
        <is>
          <t>supported</t>
        </is>
      </c>
      <c r="F23" s="7" t="inlineStr">
        <is>
          <t>fus.ev.false_alarm_episodes</t>
        </is>
      </c>
      <c r="G23" s="8">
        <f>IF(AND(ISNUMBER(Sources!$C$64)),Sources!$C$64,"unavailable")</f>
        <v/>
      </c>
      <c r="H23" s="7" t="n">
        <v>40</v>
      </c>
      <c r="I23" s="7" t="n">
        <v>0</v>
      </c>
      <c r="J23" s="7">
        <f>IF(ISNUMBER(G23),IF(ABS(G23-H23)&lt;=0.5*10^(-I23)+1E-9,"matches","MISMATCH"),"pending")</f>
        <v/>
      </c>
      <c r="K23" s="7" t="inlineStr"/>
      <c r="L23" s="7" t="inlineStr"/>
      <c r="M23" s="7" t="inlineStr">
        <is>
          <t>demo-warning | false alarms</t>
        </is>
      </c>
    </row>
    <row r="24">
      <c r="A24" s="7" t="inlineStr">
        <is>
          <t>C-WN-04</t>
        </is>
      </c>
      <c r="B24" s="7" t="inlineStr">
        <is>
          <t>1.49 false alarms per observed patient-day</t>
        </is>
      </c>
      <c r="C24" s="7" t="inlineStr">
        <is>
          <t>README.md (Results at a glance); reports/evidence_manifest.md; Deck s13</t>
        </is>
      </c>
      <c r="D24" s="7" t="inlineStr">
        <is>
          <t>Serving model, final test segment (later recordings of the same 14 people; retrospective, inspected)</t>
        </is>
      </c>
      <c r="E24" s="7" t="inlineStr">
        <is>
          <t>supported</t>
        </is>
      </c>
      <c r="F24" s="7" t="inlineStr">
        <is>
          <t>fus.ev.false_alarm_episodes; fus.ev.observed_patient_days</t>
        </is>
      </c>
      <c r="G24" s="8">
        <f>IF(AND(ISNUMBER(Sources!$C$64),ISNUMBER(Sources!$C$67)),Sources!$C$64/Sources!$C$67,"unavailable")</f>
        <v/>
      </c>
      <c r="H24" s="7" t="n">
        <v>1.49</v>
      </c>
      <c r="I24" s="7" t="n">
        <v>2</v>
      </c>
      <c r="J24" s="7">
        <f>IF(ISNUMBER(G24),IF(ABS(G24-H24)&lt;=0.5*10^(-I24)+1E-9,"matches","MISMATCH"),"pending")</f>
        <v/>
      </c>
      <c r="K24" s="7" t="inlineStr">
        <is>
          <t>Denominator = observed patient-days from saved event metadata (approximate time base: issued origins × 5 min)</t>
        </is>
      </c>
      <c r="L24" s="7" t="inlineStr"/>
      <c r="M24" s="7" t="inlineStr">
        <is>
          <t>demo-warning | false alarms per observed day</t>
        </is>
      </c>
    </row>
    <row r="25">
      <c r="A25" s="7" t="inlineStr">
        <is>
          <t>C-WN-05</t>
        </is>
      </c>
      <c r="B25" s="7" t="inlineStr">
        <is>
          <t>Median forecast lead 30 min among detected onsets</t>
        </is>
      </c>
      <c r="C25" s="7" t="inlineStr">
        <is>
          <t>README.md (Results at a glance); reports/evidence_manifest.md; narration metric card</t>
        </is>
      </c>
      <c r="D25" s="7" t="inlineStr">
        <is>
          <t>Serving model, final test segment (later recordings of the same 14 people; retrospective, inspected)</t>
        </is>
      </c>
      <c r="E25" s="7" t="inlineStr">
        <is>
          <t>supported</t>
        </is>
      </c>
      <c r="F25" s="7" t="inlineStr">
        <is>
          <t>fus.ev.qualified_lead_median</t>
        </is>
      </c>
      <c r="G25" s="8">
        <f>IF(AND(ISNUMBER(Sources!$C$70)),Sources!$C$70,"unavailable")</f>
        <v/>
      </c>
      <c r="H25" s="7" t="n">
        <v>30</v>
      </c>
      <c r="I25" s="7" t="n">
        <v>0</v>
      </c>
      <c r="J25" s="7">
        <f>IF(ISNUMBER(G25),IF(ABS(G25-H25)&lt;=0.5*10^(-I25)+1E-9,"matches","MISMATCH"),"pending")</f>
        <v/>
      </c>
      <c r="K25" s="7" t="inlineStr">
        <is>
          <t>Denominator = detected onsets with a qualified lead (61), not all onsets</t>
        </is>
      </c>
      <c r="L25" s="7" t="inlineStr"/>
      <c r="M25" s="7" t="inlineStr">
        <is>
          <t>demo-warning | median forecast lead</t>
        </is>
      </c>
    </row>
    <row r="26">
      <c r="A26" s="7" t="inlineStr">
        <is>
          <t>C-WN-06</t>
        </is>
      </c>
      <c r="B26" s="7" t="inlineStr">
        <is>
          <t>Warning active at 11.8 % of eligible times</t>
        </is>
      </c>
      <c r="C26" s="7" t="inlineStr">
        <is>
          <t>README.md (Results at a glance); reports/evidence_manifest.md; reports/warning_time_share.md; narration metric card</t>
        </is>
      </c>
      <c r="D26" s="7" t="inlineStr">
        <is>
          <t>Serving model, final test segment (later recordings of the same 14 people; retrospective, inspected)</t>
        </is>
      </c>
      <c r="E26" s="7" t="inlineStr">
        <is>
          <t>supported</t>
        </is>
      </c>
      <c r="F26" s="7" t="inlineStr">
        <is>
          <t>wu.firing; wu.eligible</t>
        </is>
      </c>
      <c r="G26" s="8">
        <f>IF(AND(ISNUMBER(Sources!$C$128),ISNUMBER(Sources!$C$129)),Sources!$C$128/Sources!$C$129*100,"unavailable")</f>
        <v/>
      </c>
      <c r="H26" s="7" t="n">
        <v>11.8</v>
      </c>
      <c r="I26" s="7" t="n">
        <v>1</v>
      </c>
      <c r="J26" s="7">
        <f>IF(ISNUMBER(G26),IF(ABS(G26-H26)&lt;=0.5*10^(-I26)+1E-9,"matches","MISMATCH"),"pending")</f>
        <v/>
      </c>
      <c r="K26" s="7" t="inlineStr">
        <is>
          <t>Post-hoc diagnostic</t>
        </is>
      </c>
      <c r="L26" s="7" t="inlineStr"/>
      <c r="M26" s="7" t="inlineStr">
        <is>
          <t>demo-time-in-warning | share of eligible times warning</t>
        </is>
      </c>
    </row>
    <row r="27">
      <c r="A27" s="7" t="inlineStr">
        <is>
          <t>C-RG-01</t>
        </is>
      </c>
      <c r="B27" s="7" t="inlineStr">
        <is>
          <t>Served 80 % ranges covered 74.2 % at 30 min (under-coverage)</t>
        </is>
      </c>
      <c r="C27" s="7" t="inlineStr">
        <is>
          <t>README.md (Results at a glance); reports/evidence_manifest.md; Deck s10; Deck s11; Deck s14</t>
        </is>
      </c>
      <c r="D27" s="7" t="inlineStr">
        <is>
          <t>Serving model, final test segment (later recordings of the same 14 people; retrospective, inspected)</t>
        </is>
      </c>
      <c r="E27" s="7" t="inlineStr">
        <is>
          <t>supported</t>
        </is>
      </c>
      <c r="F27" s="7" t="inlineStr">
        <is>
          <t>fus.iv.coverage30</t>
        </is>
      </c>
      <c r="G27" s="8">
        <f>IF(AND(ISNUMBER(Sources!$C$79)),Sources!$C$79*100,"unavailable")</f>
        <v/>
      </c>
      <c r="H27" s="7" t="n">
        <v>74.2</v>
      </c>
      <c r="I27" s="7" t="n">
        <v>1</v>
      </c>
      <c r="J27" s="7">
        <f>IF(ISNUMBER(G27),IF(ABS(G27-H27)&lt;=0.5*10^(-I27)+1E-9,"matches","MISMATCH"),"pending")</f>
        <v/>
      </c>
      <c r="K27" s="7" t="inlineStr">
        <is>
          <t>Pooled over origins; per-person coverage varies</t>
        </is>
      </c>
      <c r="L27" s="7" t="inlineStr"/>
      <c r="M27" s="7" t="inlineStr">
        <is>
          <t>demo-ranges | demo coverage 30</t>
        </is>
      </c>
    </row>
    <row r="28">
      <c r="A28" s="7" t="inlineStr">
        <is>
          <t>C-RG-02</t>
        </is>
      </c>
      <c r="B28" s="7" t="inlineStr">
        <is>
          <t>Served 80 % ranges covered 74.0 % at 60 min (under-coverage)</t>
        </is>
      </c>
      <c r="C28" s="7" t="inlineStr">
        <is>
          <t>README.md (Results at a glance); reports/evidence_manifest.md; Deck s11; Deck s14</t>
        </is>
      </c>
      <c r="D28" s="7" t="inlineStr">
        <is>
          <t>Serving model, final test segment (later recordings of the same 14 people; retrospective, inspected)</t>
        </is>
      </c>
      <c r="E28" s="7" t="inlineStr">
        <is>
          <t>supported</t>
        </is>
      </c>
      <c r="F28" s="7" t="inlineStr">
        <is>
          <t>fus.iv.coverage60</t>
        </is>
      </c>
      <c r="G28" s="8">
        <f>IF(AND(ISNUMBER(Sources!$C$85)),Sources!$C$85*100,"unavailable")</f>
        <v/>
      </c>
      <c r="H28" s="7" t="n">
        <v>74</v>
      </c>
      <c r="I28" s="7" t="n">
        <v>1</v>
      </c>
      <c r="J28" s="7">
        <f>IF(ISNUMBER(G28),IF(ABS(G28-H28)&lt;=0.5*10^(-I28)+1E-9,"matches","MISMATCH"),"pending")</f>
        <v/>
      </c>
      <c r="K28" s="7" t="inlineStr"/>
      <c r="L28" s="7" t="inlineStr"/>
      <c r="M28" s="7" t="inlineStr">
        <is>
          <t>demo-ranges | demo coverage 60</t>
        </is>
      </c>
    </row>
    <row r="29">
      <c r="A29" s="7" t="inlineStr">
        <is>
          <t>C-RG-03</t>
        </is>
      </c>
      <c r="B29" s="7" t="inlineStr">
        <is>
          <t>Research procedure ranges covered 80.1 % at 30 min (people held out)</t>
        </is>
      </c>
      <c r="C29" s="7" t="inlineStr">
        <is>
          <t>README.md (Results at a glance); reports/evidence_manifest.md</t>
        </is>
      </c>
      <c r="D29" s="7" t="inlineStr">
        <is>
          <t>Participant-held-out internal (14 CGMacros people, each held out once; previously inspected)</t>
        </is>
      </c>
      <c r="E29" s="7" t="inlineStr">
        <is>
          <t>supported</t>
        </is>
      </c>
      <c r="F29" s="7" t="inlineStr">
        <is>
          <t>nest.cov30</t>
        </is>
      </c>
      <c r="G29" s="8">
        <f>IF(AND(ISNUMBER(Sources!$C$197)),Sources!$C$197*100,"unavailable")</f>
        <v/>
      </c>
      <c r="H29" s="7" t="n">
        <v>80.09999999999999</v>
      </c>
      <c r="I29" s="7" t="n">
        <v>1</v>
      </c>
      <c r="J29" s="7">
        <f>IF(ISNUMBER(G29),IF(ABS(G29-H29)&lt;=0.5*10^(-I29)+1E-9,"matches","MISMATCH"),"pending")</f>
        <v/>
      </c>
      <c r="K29" s="7" t="inlineStr">
        <is>
          <t>Different procedure from the served model</t>
        </is>
      </c>
      <c r="L29" s="7" t="inlineStr"/>
      <c r="M29" s="7" t="inlineStr">
        <is>
          <t>demo-ranges | nested research coverage 30</t>
        </is>
      </c>
    </row>
    <row r="30">
      <c r="A30" s="7" t="inlineStr">
        <is>
          <t>C-RG-04</t>
        </is>
      </c>
      <c r="B30" s="7" t="inlineStr">
        <is>
          <t>Research procedure ranges covered 78.8 % at 60 min (people held out)</t>
        </is>
      </c>
      <c r="C30" s="7" t="inlineStr">
        <is>
          <t>README.md (Results at a glance); reports/evidence_manifest.md</t>
        </is>
      </c>
      <c r="D30" s="7" t="inlineStr">
        <is>
          <t>Participant-held-out internal (14 CGMacros people, each held out once; previously inspected)</t>
        </is>
      </c>
      <c r="E30" s="7" t="inlineStr">
        <is>
          <t>supported</t>
        </is>
      </c>
      <c r="F30" s="7" t="inlineStr">
        <is>
          <t>nest.cov60</t>
        </is>
      </c>
      <c r="G30" s="8">
        <f>IF(AND(ISNUMBER(Sources!$C$209)),Sources!$C$209*100,"unavailable")</f>
        <v/>
      </c>
      <c r="H30" s="7" t="n">
        <v>78.8</v>
      </c>
      <c r="I30" s="7" t="n">
        <v>1</v>
      </c>
      <c r="J30" s="7">
        <f>IF(ISNUMBER(G30),IF(ABS(G30-H30)&lt;=0.5*10^(-I30)+1E-9,"matches","MISMATCH"),"pending")</f>
        <v/>
      </c>
      <c r="K30" s="7" t="inlineStr"/>
      <c r="L30" s="7" t="inlineStr"/>
      <c r="M30" s="7" t="inlineStr">
        <is>
          <t>demo-ranges | nested research coverage 60</t>
        </is>
      </c>
    </row>
    <row r="31">
      <c r="A31" s="7" t="inlineStr">
        <is>
          <t>C-NS-01</t>
        </is>
      </c>
      <c r="B31" s="7" t="inlineStr">
        <is>
          <t>Research candidate MAE 13.88 at 30 min (D-032)</t>
        </is>
      </c>
      <c r="C31" s="7" t="inlineStr">
        <is>
          <t>README.md (Results at a glance); reports/evidence_manifest.md; Deck s11; narration scene 8</t>
        </is>
      </c>
      <c r="D31" s="7" t="inlineStr">
        <is>
          <t>Participant-held-out internal (14 CGMacros people, each held out once; previously inspected)</t>
        </is>
      </c>
      <c r="E31" s="7" t="inlineStr">
        <is>
          <t>supported</t>
        </is>
      </c>
      <c r="F31" s="7" t="inlineStr">
        <is>
          <t>nest.sel.mae30</t>
        </is>
      </c>
      <c r="G31" s="8">
        <f>IF(AND(ISNUMBER(Sources!$C$191)),Sources!$C$191,"unavailable")</f>
        <v/>
      </c>
      <c r="H31" s="7" t="n">
        <v>13.88</v>
      </c>
      <c r="I31" s="7" t="n">
        <v>2</v>
      </c>
      <c r="J31" s="7">
        <f>IF(ISNUMBER(G31),IF(ABS(G31-H31)&lt;=0.5*10^(-I31)+1E-9,"matches","MISMATCH"),"pending")</f>
        <v/>
      </c>
      <c r="K31" s="7" t="inlineStr">
        <is>
          <t>Not served; cohort previously inspected</t>
        </is>
      </c>
      <c r="L31" s="7" t="inlineStr"/>
      <c r="M31" s="7" t="inlineStr">
        <is>
          <t>nested-forecast | MAE 30</t>
        </is>
      </c>
    </row>
    <row r="32">
      <c r="A32" s="7" t="inlineStr">
        <is>
          <t>C-NS-02</t>
        </is>
      </c>
      <c r="B32" s="7" t="inlineStr">
        <is>
          <t>Research candidate MAE 22.30 at 60 min (D-032)</t>
        </is>
      </c>
      <c r="C32" s="7" t="inlineStr">
        <is>
          <t>README.md (Results at a glance); reports/evidence_manifest.md; Deck s11</t>
        </is>
      </c>
      <c r="D32" s="7" t="inlineStr">
        <is>
          <t>Participant-held-out internal (14 CGMacros people, each held out once; previously inspected)</t>
        </is>
      </c>
      <c r="E32" s="7" t="inlineStr">
        <is>
          <t>supported</t>
        </is>
      </c>
      <c r="F32" s="7" t="inlineStr">
        <is>
          <t>nest.sel.mae60</t>
        </is>
      </c>
      <c r="G32" s="8">
        <f>IF(AND(ISNUMBER(Sources!$C$192)),Sources!$C$192,"unavailable")</f>
        <v/>
      </c>
      <c r="H32" s="7" t="n">
        <v>22.3</v>
      </c>
      <c r="I32" s="7" t="n">
        <v>2</v>
      </c>
      <c r="J32" s="7">
        <f>IF(ISNUMBER(G32),IF(ABS(G32-H32)&lt;=0.5*10^(-I32)+1E-9,"matches","MISMATCH"),"pending")</f>
        <v/>
      </c>
      <c r="K32" s="7" t="inlineStr">
        <is>
          <t>Source value 22.305 is an exact rounding tie at the source's own precision; stated 22.3 is one of its two valid roundings</t>
        </is>
      </c>
      <c r="L32" s="7" t="inlineStr"/>
      <c r="M32" s="7" t="inlineStr">
        <is>
          <t>nested-forecast | MAE 60</t>
        </is>
      </c>
    </row>
    <row r="33">
      <c r="A33" s="7" t="inlineStr">
        <is>
          <t>C-NS-03</t>
        </is>
      </c>
      <c r="B33" s="7" t="inlineStr">
        <is>
          <t>Nested persistence 15.34 at 30 min</t>
        </is>
      </c>
      <c r="C33" s="7" t="inlineStr">
        <is>
          <t>README.md (Results at a glance); reports/evidence_manifest.md; Deck s11</t>
        </is>
      </c>
      <c r="D33" s="7" t="inlineStr">
        <is>
          <t>Participant-held-out internal (14 CGMacros people, each held out once; previously inspected)</t>
        </is>
      </c>
      <c r="E33" s="7" t="inlineStr">
        <is>
          <t>supported</t>
        </is>
      </c>
      <c r="F33" s="7" t="inlineStr">
        <is>
          <t>nest.pers.mae30</t>
        </is>
      </c>
      <c r="G33" s="8">
        <f>IF(AND(ISNUMBER(Sources!$C$193)),Sources!$C$193,"unavailable")</f>
        <v/>
      </c>
      <c r="H33" s="7" t="n">
        <v>15.34</v>
      </c>
      <c r="I33" s="7" t="n">
        <v>2</v>
      </c>
      <c r="J33" s="7">
        <f>IF(ISNUMBER(G33),IF(ABS(G33-H33)&lt;=0.5*10^(-I33)+1E-9,"matches","MISMATCH"),"pending")</f>
        <v/>
      </c>
      <c r="K33" s="7" t="inlineStr"/>
      <c r="L33" s="7" t="inlineStr"/>
      <c r="M33" s="7" t="inlineStr">
        <is>
          <t>nested-forecast | persistence 30</t>
        </is>
      </c>
    </row>
    <row r="34">
      <c r="A34" s="7" t="inlineStr">
        <is>
          <t>C-NS-04</t>
        </is>
      </c>
      <c r="B34" s="7" t="inlineStr">
        <is>
          <t>Nested persistence 24.47 at 60 min</t>
        </is>
      </c>
      <c r="C34" s="7" t="inlineStr">
        <is>
          <t>README.md (Results at a glance); reports/evidence_manifest.md; Deck s11</t>
        </is>
      </c>
      <c r="D34" s="7" t="inlineStr">
        <is>
          <t>Participant-held-out internal (14 CGMacros people, each held out once; previously inspected)</t>
        </is>
      </c>
      <c r="E34" s="7" t="inlineStr">
        <is>
          <t>supported</t>
        </is>
      </c>
      <c r="F34" s="7" t="inlineStr">
        <is>
          <t>nest.pers.mae60</t>
        </is>
      </c>
      <c r="G34" s="8">
        <f>IF(AND(ISNUMBER(Sources!$C$194)),Sources!$C$194,"unavailable")</f>
        <v/>
      </c>
      <c r="H34" s="7" t="n">
        <v>24.47</v>
      </c>
      <c r="I34" s="7" t="n">
        <v>2</v>
      </c>
      <c r="J34" s="7">
        <f>IF(ISNUMBER(G34),IF(ABS(G34-H34)&lt;=0.5*10^(-I34)+1E-9,"matches","MISMATCH"),"pending")</f>
        <v/>
      </c>
      <c r="K34" s="7" t="inlineStr"/>
      <c r="L34" s="7" t="inlineStr"/>
      <c r="M34" s="7" t="inlineStr">
        <is>
          <t>nested-forecast | persistence 60</t>
        </is>
      </c>
    </row>
    <row r="35">
      <c r="A35" s="7" t="inlineStr">
        <is>
          <t>C-NS-05</t>
        </is>
      </c>
      <c r="B35" s="7" t="inlineStr">
        <is>
          <t>Ridge on CGM only chosen in 4 of 5 folds</t>
        </is>
      </c>
      <c r="C35" s="7" t="inlineStr">
        <is>
          <t>README.md (Results at a glance); reports/evidence_manifest.md; Deck s11</t>
        </is>
      </c>
      <c r="D35" s="7" t="inlineStr">
        <is>
          <t>Participant-held-out internal (14 CGMacros people, each held out once; previously inspected)</t>
        </is>
      </c>
      <c r="E35" s="7" t="inlineStr">
        <is>
          <t>supported</t>
        </is>
      </c>
      <c r="F35" s="7" t="inlineStr">
        <is>
          <t>nest.ridge_folds</t>
        </is>
      </c>
      <c r="G35" s="8">
        <f>IF(AND(ISNUMBER(Sources!$C$221)),Sources!$C$221,"unavailable")</f>
        <v/>
      </c>
      <c r="H35" s="7" t="n">
        <v>4</v>
      </c>
      <c r="I35" s="7" t="n">
        <v>0</v>
      </c>
      <c r="J35" s="7">
        <f>IF(ISNUMBER(G35),IF(ABS(G35-H35)&lt;=0.5*10^(-I35)+1E-9,"matches","MISMATCH"),"pending")</f>
        <v/>
      </c>
      <c r="K35" s="7" t="inlineStr"/>
      <c r="L35" s="7" t="inlineStr"/>
      <c r="M35" s="7" t="inlineStr">
        <is>
          <t>nested-forecast | folds choosing Ridge CGM-only</t>
        </is>
      </c>
    </row>
    <row r="36">
      <c r="A36" s="7" t="inlineStr">
        <is>
          <t>C-EX-01</t>
        </is>
      </c>
      <c r="B36" s="7" t="inlineStr">
        <is>
          <t>External 15-min LightGBM MAE 11.15 at 30 min</t>
        </is>
      </c>
      <c r="C36" s="7" t="inlineStr">
        <is>
          <t>README.md (Results at a glance); reports/evidence_manifest.md</t>
        </is>
      </c>
      <c r="D36" s="7" t="inlineStr">
        <is>
          <t>External ShanghaiT2DM, 98 people, CGM-only procedure (not the serving fusion model)</t>
        </is>
      </c>
      <c r="E36" s="7" t="inlineStr">
        <is>
          <t>supported</t>
        </is>
      </c>
      <c r="F36" s="7" t="inlineStr">
        <is>
          <t>ext.cand.mae30</t>
        </is>
      </c>
      <c r="G36" s="8">
        <f>IF(AND(ISNUMBER(Sources!$C$201)),Sources!$C$201,"unavailable")</f>
        <v/>
      </c>
      <c r="H36" s="7" t="n">
        <v>11.15</v>
      </c>
      <c r="I36" s="7" t="n">
        <v>2</v>
      </c>
      <c r="J36" s="7">
        <f>IF(ISNUMBER(G36),IF(ABS(G36-H36)&lt;=0.5*10^(-I36)+1E-9,"matches","MISMATCH"),"pending")</f>
        <v/>
      </c>
      <c r="K36" s="7" t="inlineStr">
        <is>
          <t>CGM only; tests the forecasting core, not the fusion</t>
        </is>
      </c>
      <c r="L36" s="7" t="inlineStr"/>
      <c r="M36" s="7" t="inlineStr">
        <is>
          <t>external-15min | MAE 30</t>
        </is>
      </c>
    </row>
    <row r="37">
      <c r="A37" s="7" t="inlineStr">
        <is>
          <t>C-EX-02</t>
        </is>
      </c>
      <c r="B37" s="7" t="inlineStr">
        <is>
          <t>External 15-min LightGBM MAE 20.11 at 60 min</t>
        </is>
      </c>
      <c r="C37" s="7" t="inlineStr">
        <is>
          <t>README.md (Results at a glance); reports/evidence_manifest.md</t>
        </is>
      </c>
      <c r="D37" s="7" t="inlineStr">
        <is>
          <t>External ShanghaiT2DM, 98 people, CGM-only procedure (not the serving fusion model)</t>
        </is>
      </c>
      <c r="E37" s="7" t="inlineStr">
        <is>
          <t>supported</t>
        </is>
      </c>
      <c r="F37" s="7" t="inlineStr">
        <is>
          <t>ext.cand.mae60</t>
        </is>
      </c>
      <c r="G37" s="8">
        <f>IF(AND(ISNUMBER(Sources!$C$213)),Sources!$C$213,"unavailable")</f>
        <v/>
      </c>
      <c r="H37" s="7" t="n">
        <v>20.11</v>
      </c>
      <c r="I37" s="7" t="n">
        <v>2</v>
      </c>
      <c r="J37" s="7">
        <f>IF(ISNUMBER(G37),IF(ABS(G37-H37)&lt;=0.5*10^(-I37)+1E-9,"matches","MISMATCH"),"pending")</f>
        <v/>
      </c>
      <c r="K37" s="7" t="inlineStr">
        <is>
          <t>Source value 20.105 is an exact rounding tie at the source's own precision; stated 20.11 is one of its two valid roundings</t>
        </is>
      </c>
      <c r="L37" s="7" t="inlineStr"/>
      <c r="M37" s="7" t="inlineStr">
        <is>
          <t>external-15min | MAE 60</t>
        </is>
      </c>
    </row>
    <row r="38">
      <c r="A38" s="7" t="inlineStr">
        <is>
          <t>C-EX-03</t>
        </is>
      </c>
      <c r="B38" s="7" t="inlineStr">
        <is>
          <t>External persistence 12.14 at 30 min</t>
        </is>
      </c>
      <c r="C38" s="7" t="inlineStr">
        <is>
          <t>README.md (Results at a glance); reports/evidence_manifest.md</t>
        </is>
      </c>
      <c r="D38" s="7" t="inlineStr">
        <is>
          <t>External ShanghaiT2DM, 98 people, CGM-only procedure (not the serving fusion model)</t>
        </is>
      </c>
      <c r="E38" s="7" t="inlineStr">
        <is>
          <t>supported</t>
        </is>
      </c>
      <c r="F38" s="7" t="inlineStr">
        <is>
          <t>ext.pers.mae30</t>
        </is>
      </c>
      <c r="G38" s="8">
        <f>IF(AND(ISNUMBER(Sources!$C$202)),Sources!$C$202,"unavailable")</f>
        <v/>
      </c>
      <c r="H38" s="7" t="n">
        <v>12.14</v>
      </c>
      <c r="I38" s="7" t="n">
        <v>2</v>
      </c>
      <c r="J38" s="7">
        <f>IF(ISNUMBER(G38),IF(ABS(G38-H38)&lt;=0.5*10^(-I38)+1E-9,"matches","MISMATCH"),"pending")</f>
        <v/>
      </c>
      <c r="K38" s="7" t="inlineStr">
        <is>
          <t>Source value 12.145 is an exact rounding tie at the source's own precision; stated 12.14 is one of its two valid roundings</t>
        </is>
      </c>
      <c r="L38" s="7" t="inlineStr"/>
      <c r="M38" s="7" t="inlineStr">
        <is>
          <t>external-15min | persistence 30</t>
        </is>
      </c>
    </row>
    <row r="39">
      <c r="A39" s="7" t="inlineStr">
        <is>
          <t>C-EX-04</t>
        </is>
      </c>
      <c r="B39" s="7" t="inlineStr">
        <is>
          <t>External persistence 20.44 at 60 min</t>
        </is>
      </c>
      <c r="C39" s="7" t="inlineStr">
        <is>
          <t>README.md (Results at a glance); reports/evidence_manifest.md</t>
        </is>
      </c>
      <c r="D39" s="7" t="inlineStr">
        <is>
          <t>External ShanghaiT2DM, 98 people, CGM-only procedure (not the serving fusion model)</t>
        </is>
      </c>
      <c r="E39" s="7" t="inlineStr">
        <is>
          <t>supported</t>
        </is>
      </c>
      <c r="F39" s="7" t="inlineStr">
        <is>
          <t>ext.pers.mae60</t>
        </is>
      </c>
      <c r="G39" s="8">
        <f>IF(AND(ISNUMBER(Sources!$C$214)),Sources!$C$214,"unavailable")</f>
        <v/>
      </c>
      <c r="H39" s="7" t="n">
        <v>20.44</v>
      </c>
      <c r="I39" s="7" t="n">
        <v>2</v>
      </c>
      <c r="J39" s="7">
        <f>IF(ISNUMBER(G39),IF(ABS(G39-H39)&lt;=0.5*10^(-I39)+1E-9,"matches","MISMATCH"),"pending")</f>
        <v/>
      </c>
      <c r="K39" s="7" t="inlineStr"/>
      <c r="L39" s="7" t="inlineStr"/>
      <c r="M39" s="7" t="inlineStr">
        <is>
          <t>external-15min | persistence 60</t>
        </is>
      </c>
    </row>
    <row r="40">
      <c r="A40" s="7" t="inlineStr">
        <is>
          <t>C-EX-05</t>
        </is>
      </c>
      <c r="B40" s="7" t="inlineStr">
        <is>
          <t>External 60-minute difference is inconclusive (95 % CI upper bound above 0)</t>
        </is>
      </c>
      <c r="C40" s="7" t="inlineStr">
        <is>
          <t>README.md (Results at a glance); reports/evidence_manifest.md</t>
        </is>
      </c>
      <c r="D40" s="7" t="inlineStr">
        <is>
          <t>External ShanghaiT2DM, 98 people, CGM-only procedure (not the serving fusion model)</t>
        </is>
      </c>
      <c r="E40" s="7" t="inlineStr">
        <is>
          <t>supported</t>
        </is>
      </c>
      <c r="F40" s="7" t="inlineStr">
        <is>
          <t>ext.cmp.hi60; ext.cmp.lo60; ext.cmp.hi60</t>
        </is>
      </c>
      <c r="G40" s="8">
        <f>IF(AND(ISNUMBER(Sources!$C$217)),Sources!$C$217,"unavailable")</f>
        <v/>
      </c>
      <c r="H40" s="7" t="inlineStr">
        <is>
          <t>—</t>
        </is>
      </c>
      <c r="I40" s="7" t="n"/>
      <c r="J40" s="7" t="inlineStr">
        <is>
          <t>see limitation</t>
        </is>
      </c>
      <c r="K40" s="7" t="inlineStr">
        <is>
          <t>Interval crosses zero</t>
        </is>
      </c>
      <c r="L40" s="7" t="inlineStr"/>
      <c r="M40" s="7" t="inlineStr">
        <is>
          <t>external-15min | 60-minute difference</t>
        </is>
      </c>
    </row>
    <row r="41">
      <c r="A41" s="7" t="inlineStr">
        <is>
          <t>C-PF-01</t>
        </is>
      </c>
      <c r="B41" s="7" t="inlineStr">
        <is>
          <t>Profile minus no profile (held out) +0.34 mg/dL at 30 min</t>
        </is>
      </c>
      <c r="C41" s="7" t="inlineStr">
        <is>
          <t>README.md (Results at a glance); reports/evidence_manifest.md; README §7</t>
        </is>
      </c>
      <c r="D41" s="7" t="inlineStr">
        <is>
          <t>Participant-held-out internal (14 CGMacros people, each held out once; previously inspected)</t>
        </is>
      </c>
      <c r="E41" s="7" t="inlineStr">
        <is>
          <t>negative-result</t>
        </is>
      </c>
      <c r="F41" s="7" t="inlineStr">
        <is>
          <t>nest.prof.d30</t>
        </is>
      </c>
      <c r="G41" s="8">
        <f>IF(AND(ISNUMBER(Sources!$C$198)),Sources!$C$198,"unavailable")</f>
        <v/>
      </c>
      <c r="H41" s="7" t="n">
        <v>0.34</v>
      </c>
      <c r="I41" s="7" t="n">
        <v>2</v>
      </c>
      <c r="J41" s="7">
        <f>IF(ISNUMBER(G41),IF(ABS(G41-H41)&lt;=0.5*10^(-I41)+1E-9,"matches","MISMATCH"),"pending")</f>
        <v/>
      </c>
      <c r="K41" s="7" t="inlineStr">
        <is>
          <t>CI [−0.28, +0.89] crosses zero: no reliable benefit; Source value 0.335 is an exact rounding tie at the source's own precision; stated 0.34 is one of its two valid roundings</t>
        </is>
      </c>
      <c r="L41" s="7" t="inlineStr"/>
      <c r="M41" s="7" t="inlineStr">
        <is>
          <t>profile-ablation-nested | profile minus no profile, 30 min</t>
        </is>
      </c>
    </row>
    <row r="42">
      <c r="A42" s="7" t="inlineStr">
        <is>
          <t>C-PF-02</t>
        </is>
      </c>
      <c r="B42" s="7" t="inlineStr">
        <is>
          <t>Profile minus no profile (held out) −0.75 mg/dL at 60 min</t>
        </is>
      </c>
      <c r="C42" s="7" t="inlineStr">
        <is>
          <t>README.md (Results at a glance); reports/evidence_manifest.md; README §7; Deck s14</t>
        </is>
      </c>
      <c r="D42" s="7" t="inlineStr">
        <is>
          <t>Participant-held-out internal (14 CGMacros people, each held out once; previously inspected)</t>
        </is>
      </c>
      <c r="E42" s="7" t="inlineStr">
        <is>
          <t>negative-result</t>
        </is>
      </c>
      <c r="F42" s="7" t="inlineStr">
        <is>
          <t>nest.prof.d60</t>
        </is>
      </c>
      <c r="G42" s="8">
        <f>IF(AND(ISNUMBER(Sources!$C$210)),Sources!$C$210,"unavailable")</f>
        <v/>
      </c>
      <c r="H42" s="7" t="n">
        <v>-0.75</v>
      </c>
      <c r="I42" s="7" t="n">
        <v>2</v>
      </c>
      <c r="J42" s="7">
        <f>IF(ISNUMBER(G42),IF(ABS(G42-H42)&lt;=0.5*10^(-I42)+1E-9,"matches","MISMATCH"),"pending")</f>
        <v/>
      </c>
      <c r="K42" s="7" t="inlineStr">
        <is>
          <t>CI [−2.19, +0.61] crosses zero</t>
        </is>
      </c>
      <c r="L42" s="7" t="inlineStr"/>
      <c r="M42" s="7" t="inlineStr">
        <is>
          <t>profile-ablation-nested | profile minus no profile, 60 min</t>
        </is>
      </c>
    </row>
    <row r="43">
      <c r="A43" s="7" t="inlineStr">
        <is>
          <t>C-PF-03</t>
        </is>
      </c>
      <c r="B43" s="7" t="inlineStr">
        <is>
          <t>Profile ablation 30-min CI lower −0.28</t>
        </is>
      </c>
      <c r="C43" s="7" t="inlineStr">
        <is>
          <t>README.md (Results at a glance); reports/evidence_manifest.md</t>
        </is>
      </c>
      <c r="D43" s="7" t="inlineStr">
        <is>
          <t>Participant-held-out internal (14 CGMacros people, each held out once; previously inspected)</t>
        </is>
      </c>
      <c r="E43" s="7" t="inlineStr">
        <is>
          <t>supported</t>
        </is>
      </c>
      <c r="F43" s="7" t="inlineStr">
        <is>
          <t>nest.prof.lo30</t>
        </is>
      </c>
      <c r="G43" s="8">
        <f>IF(AND(ISNUMBER(Sources!$C$199)),Sources!$C$199,"unavailable")</f>
        <v/>
      </c>
      <c r="H43" s="7" t="n">
        <v>-0.28</v>
      </c>
      <c r="I43" s="7" t="n">
        <v>2</v>
      </c>
      <c r="J43" s="7">
        <f>IF(ISNUMBER(G43),IF(ABS(G43-H43)&lt;=0.5*10^(-I43)+1E-9,"matches","MISMATCH"),"pending")</f>
        <v/>
      </c>
      <c r="K43" s="7" t="inlineStr">
        <is>
          <t>Source value -0.275 is an exact rounding tie at the source's own precision; stated -0.28 is one of its two valid roundings</t>
        </is>
      </c>
      <c r="L43" s="7" t="inlineStr"/>
      <c r="M43" s="7" t="inlineStr"/>
    </row>
    <row r="44">
      <c r="A44" s="7" t="inlineStr">
        <is>
          <t>C-PF-04</t>
        </is>
      </c>
      <c r="B44" s="7" t="inlineStr">
        <is>
          <t>Profile ablation 30-min CI upper +0.89</t>
        </is>
      </c>
      <c r="C44" s="7" t="inlineStr">
        <is>
          <t>README.md (Results at a glance); reports/evidence_manifest.md</t>
        </is>
      </c>
      <c r="D44" s="7" t="inlineStr">
        <is>
          <t>Participant-held-out internal (14 CGMacros people, each held out once; previously inspected)</t>
        </is>
      </c>
      <c r="E44" s="7" t="inlineStr">
        <is>
          <t>supported</t>
        </is>
      </c>
      <c r="F44" s="7" t="inlineStr">
        <is>
          <t>nest.prof.hi30</t>
        </is>
      </c>
      <c r="G44" s="8">
        <f>IF(AND(ISNUMBER(Sources!$C$200)),Sources!$C$200,"unavailable")</f>
        <v/>
      </c>
      <c r="H44" s="7" t="n">
        <v>0.89</v>
      </c>
      <c r="I44" s="7" t="n">
        <v>2</v>
      </c>
      <c r="J44" s="7">
        <f>IF(ISNUMBER(G44),IF(ABS(G44-H44)&lt;=0.5*10^(-I44)+1E-9,"matches","MISMATCH"),"pending")</f>
        <v/>
      </c>
      <c r="K44" s="7" t="inlineStr"/>
      <c r="L44" s="7" t="inlineStr"/>
      <c r="M44" s="7" t="inlineStr"/>
    </row>
    <row r="45">
      <c r="A45" s="7" t="inlineStr">
        <is>
          <t>C-PF-05</t>
        </is>
      </c>
      <c r="B45" s="7" t="inlineStr">
        <is>
          <t>Profile ablation 60-min CI lower −2.19</t>
        </is>
      </c>
      <c r="C45" s="7" t="inlineStr">
        <is>
          <t>README.md (Results at a glance); reports/evidence_manifest.md</t>
        </is>
      </c>
      <c r="D45" s="7" t="inlineStr">
        <is>
          <t>Participant-held-out internal (14 CGMacros people, each held out once; previously inspected)</t>
        </is>
      </c>
      <c r="E45" s="7" t="inlineStr">
        <is>
          <t>supported</t>
        </is>
      </c>
      <c r="F45" s="7" t="inlineStr">
        <is>
          <t>nest.prof.lo60</t>
        </is>
      </c>
      <c r="G45" s="8">
        <f>IF(AND(ISNUMBER(Sources!$C$211)),Sources!$C$211,"unavailable")</f>
        <v/>
      </c>
      <c r="H45" s="7" t="n">
        <v>-2.19</v>
      </c>
      <c r="I45" s="7" t="n">
        <v>2</v>
      </c>
      <c r="J45" s="7">
        <f>IF(ISNUMBER(G45),IF(ABS(G45-H45)&lt;=0.5*10^(-I45)+1E-9,"matches","MISMATCH"),"pending")</f>
        <v/>
      </c>
      <c r="K45" s="7" t="inlineStr"/>
      <c r="L45" s="7" t="inlineStr"/>
      <c r="M45" s="7" t="inlineStr"/>
    </row>
    <row r="46">
      <c r="A46" s="7" t="inlineStr">
        <is>
          <t>C-PF-06</t>
        </is>
      </c>
      <c r="B46" s="7" t="inlineStr">
        <is>
          <t>Profile ablation 60-min CI upper +0.61</t>
        </is>
      </c>
      <c r="C46" s="7" t="inlineStr">
        <is>
          <t>README.md (Results at a glance); reports/evidence_manifest.md</t>
        </is>
      </c>
      <c r="D46" s="7" t="inlineStr">
        <is>
          <t>Participant-held-out internal (14 CGMacros people, each held out once; previously inspected)</t>
        </is>
      </c>
      <c r="E46" s="7" t="inlineStr">
        <is>
          <t>supported</t>
        </is>
      </c>
      <c r="F46" s="7" t="inlineStr">
        <is>
          <t>nest.prof.hi60</t>
        </is>
      </c>
      <c r="G46" s="8">
        <f>IF(AND(ISNUMBER(Sources!$C$212)),Sources!$C$212,"unavailable")</f>
        <v/>
      </c>
      <c r="H46" s="7" t="n">
        <v>0.61</v>
      </c>
      <c r="I46" s="7" t="n">
        <v>2</v>
      </c>
      <c r="J46" s="7">
        <f>IF(ISNUMBER(G46),IF(ABS(G46-H46)&lt;=0.5*10^(-I46)+1E-9,"matches","MISMATCH"),"pending")</f>
        <v/>
      </c>
      <c r="K46" s="7" t="inlineStr"/>
      <c r="L46" s="7" t="inlineStr"/>
      <c r="M46" s="7" t="inlineStr"/>
    </row>
    <row r="47">
      <c r="A47" s="7" t="inlineStr">
        <is>
          <t>C-2H-01</t>
        </is>
      </c>
      <c r="B47" s="7" t="inlineStr">
        <is>
          <t>Two hours ahead: MAE 30.6 at 120 min (D-043)</t>
        </is>
      </c>
      <c r="C47" s="7" t="inlineStr">
        <is>
          <t>README.md (Results at a glance); reports/evidence_manifest.md; narration scene 16</t>
        </is>
      </c>
      <c r="D47" s="7" t="inlineStr">
        <is>
          <t>Participant-held-out internal (14 CGMacros people, each held out once; previously inspected)</t>
        </is>
      </c>
      <c r="E47" s="7" t="inlineStr">
        <is>
          <t>supported</t>
        </is>
      </c>
      <c r="F47" s="7" t="inlineStr">
        <is>
          <t>2h.sel.mae120</t>
        </is>
      </c>
      <c r="G47" s="8">
        <f>IF(AND(ISNUMBER(Sources!$C$228)),Sources!$C$228,"unavailable")</f>
        <v/>
      </c>
      <c r="H47" s="7" t="n">
        <v>30.6</v>
      </c>
      <c r="I47" s="7" t="n">
        <v>1</v>
      </c>
      <c r="J47" s="7">
        <f>IF(ISNUMBER(G47),IF(ABS(G47-H47)&lt;=0.5*10^(-I47)+1E-9,"matches","MISMATCH"),"pending")</f>
        <v/>
      </c>
      <c r="K47" s="7" t="inlineStr">
        <is>
          <t>Research procedure, not served</t>
        </is>
      </c>
      <c r="L47" s="7" t="inlineStr"/>
      <c r="M47" s="7" t="inlineStr">
        <is>
          <t>two-hour | MAE 120</t>
        </is>
      </c>
    </row>
    <row r="48">
      <c r="A48" s="7" t="inlineStr">
        <is>
          <t>C-2H-02</t>
        </is>
      </c>
      <c r="B48" s="7" t="inlineStr">
        <is>
          <t>Two-hour persistence 35.9 at 120 min</t>
        </is>
      </c>
      <c r="C48" s="7" t="inlineStr">
        <is>
          <t>README.md (Results at a glance); reports/evidence_manifest.md; narration scene 16</t>
        </is>
      </c>
      <c r="D48" s="7" t="inlineStr">
        <is>
          <t>Participant-held-out internal (14 CGMacros people, each held out once; previously inspected)</t>
        </is>
      </c>
      <c r="E48" s="7" t="inlineStr">
        <is>
          <t>supported</t>
        </is>
      </c>
      <c r="F48" s="7" t="inlineStr">
        <is>
          <t>2h.pers.mae120</t>
        </is>
      </c>
      <c r="G48" s="8">
        <f>IF(AND(ISNUMBER(Sources!$C$229)),Sources!$C$229,"unavailable")</f>
        <v/>
      </c>
      <c r="H48" s="7" t="n">
        <v>35.9</v>
      </c>
      <c r="I48" s="7" t="n">
        <v>1</v>
      </c>
      <c r="J48" s="7">
        <f>IF(ISNUMBER(G48),IF(ABS(G48-H48)&lt;=0.5*10^(-I48)+1E-9,"matches","MISMATCH"),"pending")</f>
        <v/>
      </c>
      <c r="K48" s="7" t="inlineStr"/>
      <c r="L48" s="7" t="inlineStr"/>
      <c r="M48" s="7" t="inlineStr">
        <is>
          <t>two-hour | persistence 120</t>
        </is>
      </c>
    </row>
    <row r="49">
      <c r="A49" s="7" t="inlineStr">
        <is>
          <t>C-2H-03</t>
        </is>
      </c>
      <c r="B49" s="7" t="inlineStr">
        <is>
          <t>Two-hour procedure better than persistence for 14 of 14 people</t>
        </is>
      </c>
      <c r="C49" s="7" t="inlineStr">
        <is>
          <t>README.md (Results at a glance); reports/evidence_manifest.md; narration scene 16</t>
        </is>
      </c>
      <c r="D49" s="7" t="inlineStr">
        <is>
          <t>Participant-held-out internal (14 CGMacros people, each held out once; previously inspected)</t>
        </is>
      </c>
      <c r="E49" s="7" t="inlineStr">
        <is>
          <t>supported</t>
        </is>
      </c>
      <c r="F49" s="7" t="inlineStr">
        <is>
          <t>2h.cmp.better</t>
        </is>
      </c>
      <c r="G49" s="8">
        <f>IF(AND(ISNUMBER(Sources!$C$233)),Sources!$C$233,"unavailable")</f>
        <v/>
      </c>
      <c r="H49" s="7" t="n">
        <v>14</v>
      </c>
      <c r="I49" s="7" t="n">
        <v>0</v>
      </c>
      <c r="J49" s="7">
        <f>IF(ISNUMBER(G49),IF(ABS(G49-H49)&lt;=0.5*10^(-I49)+1E-9,"matches","MISMATCH"),"pending")</f>
        <v/>
      </c>
      <c r="K49" s="7" t="inlineStr"/>
      <c r="L49" s="7" t="inlineStr"/>
      <c r="M49" s="7" t="inlineStr">
        <is>
          <t>two-hour | people better</t>
        </is>
      </c>
    </row>
    <row r="50">
      <c r="A50" s="7" t="inlineStr">
        <is>
          <t>C-2H-04</t>
        </is>
      </c>
      <c r="B50" s="7" t="inlineStr">
        <is>
          <t>Two-hour warning: 315 of 329 onsets</t>
        </is>
      </c>
      <c r="C50" s="7" t="inlineStr">
        <is>
          <t>README.md (Results at a glance); reports/evidence_manifest.md</t>
        </is>
      </c>
      <c r="D50" s="7" t="inlineStr">
        <is>
          <t>Participant-held-out internal (14 CGMacros people, each held out once; previously inspected)</t>
        </is>
      </c>
      <c r="E50" s="7" t="inlineStr">
        <is>
          <t>supported</t>
        </is>
      </c>
      <c r="F50" s="7" t="inlineStr">
        <is>
          <t>2h.w.detected_onsets</t>
        </is>
      </c>
      <c r="G50" s="8">
        <f>IF(AND(ISNUMBER(Sources!$C$239)),Sources!$C$239,"unavailable")</f>
        <v/>
      </c>
      <c r="H50" s="7" t="n">
        <v>315</v>
      </c>
      <c r="I50" s="7" t="n">
        <v>0</v>
      </c>
      <c r="J50" s="7">
        <f>IF(ISNUMBER(G50),IF(ABS(G50-H50)&lt;=0.5*10^(-I50)+1E-9,"matches","MISMATCH"),"pending")</f>
        <v/>
      </c>
      <c r="K50" s="7" t="inlineStr"/>
      <c r="L50" s="7" t="inlineStr"/>
      <c r="M50" s="7" t="inlineStr">
        <is>
          <t>two-hour | onsets warned</t>
        </is>
      </c>
    </row>
    <row r="51">
      <c r="A51" s="7" t="inlineStr">
        <is>
          <t>C-2H-05</t>
        </is>
      </c>
      <c r="B51" s="7" t="inlineStr">
        <is>
          <t>Two-hour warning onsets (denominator) 329</t>
        </is>
      </c>
      <c r="C51" s="7" t="inlineStr">
        <is>
          <t>README.md (Results at a glance); reports/evidence_manifest.md</t>
        </is>
      </c>
      <c r="D51" s="7" t="inlineStr">
        <is>
          <t>Participant-held-out internal (14 CGMacros people, each held out once; previously inspected)</t>
        </is>
      </c>
      <c r="E51" s="7" t="inlineStr">
        <is>
          <t>supported</t>
        </is>
      </c>
      <c r="F51" s="7" t="inlineStr">
        <is>
          <t>2h.w.true_onsets</t>
        </is>
      </c>
      <c r="G51" s="8">
        <f>IF(AND(ISNUMBER(Sources!$C$238)),Sources!$C$238,"unavailable")</f>
        <v/>
      </c>
      <c r="H51" s="7" t="n">
        <v>329</v>
      </c>
      <c r="I51" s="7" t="n">
        <v>0</v>
      </c>
      <c r="J51" s="7">
        <f>IF(ISNUMBER(G51),IF(ABS(G51-H51)&lt;=0.5*10^(-I51)+1E-9,"matches","MISMATCH"),"pending")</f>
        <v/>
      </c>
      <c r="K51" s="7" t="inlineStr"/>
      <c r="L51" s="7" t="inlineStr"/>
      <c r="M51" s="7" t="inlineStr"/>
    </row>
    <row r="52">
      <c r="A52" s="7" t="inlineStr">
        <is>
          <t>C-2H-06</t>
        </is>
      </c>
      <c r="B52" s="7" t="inlineStr">
        <is>
          <t>Two-hour warning 1.62 false alarms per observed day</t>
        </is>
      </c>
      <c r="C52" s="7" t="inlineStr">
        <is>
          <t>README.md (Results at a glance); reports/evidence_manifest.md</t>
        </is>
      </c>
      <c r="D52" s="7" t="inlineStr">
        <is>
          <t>Participant-held-out internal (14 CGMacros people, each held out once; previously inspected)</t>
        </is>
      </c>
      <c r="E52" s="7" t="inlineStr">
        <is>
          <t>supported</t>
        </is>
      </c>
      <c r="F52" s="7" t="inlineStr">
        <is>
          <t>2h.w.false_alarms_per_observed_day</t>
        </is>
      </c>
      <c r="G52" s="8">
        <f>IF(AND(ISNUMBER(Sources!$C$240)),Sources!$C$240,"unavailable")</f>
        <v/>
      </c>
      <c r="H52" s="7" t="n">
        <v>1.62</v>
      </c>
      <c r="I52" s="7" t="n">
        <v>2</v>
      </c>
      <c r="J52" s="7">
        <f>IF(ISNUMBER(G52),IF(ABS(G52-H52)&lt;=0.5*10^(-I52)+1E-9,"matches","MISMATCH"),"pending")</f>
        <v/>
      </c>
      <c r="K52" s="7" t="inlineStr"/>
      <c r="L52" s="7" t="inlineStr"/>
      <c r="M52" s="7" t="inlineStr">
        <is>
          <t>two-hour | false alarms per observed day</t>
        </is>
      </c>
    </row>
    <row r="53">
      <c r="A53" s="7" t="inlineStr">
        <is>
          <t>C-2H-07</t>
        </is>
      </c>
      <c r="B53" s="7" t="inlineStr">
        <is>
          <t>Two-hour warning median lead 15 min</t>
        </is>
      </c>
      <c r="C53" s="7" t="inlineStr">
        <is>
          <t>README.md (Results at a glance); reports/evidence_manifest.md; narration scene 16</t>
        </is>
      </c>
      <c r="D53" s="7" t="inlineStr">
        <is>
          <t>Participant-held-out internal (14 CGMacros people, each held out once; previously inspected)</t>
        </is>
      </c>
      <c r="E53" s="7" t="inlineStr">
        <is>
          <t>supported</t>
        </is>
      </c>
      <c r="F53" s="7" t="inlineStr">
        <is>
          <t>2h.w.qualified_lead_median</t>
        </is>
      </c>
      <c r="G53" s="8">
        <f>IF(AND(ISNUMBER(Sources!$C$241)),Sources!$C$241,"unavailable")</f>
        <v/>
      </c>
      <c r="H53" s="7" t="n">
        <v>15</v>
      </c>
      <c r="I53" s="7" t="n">
        <v>0</v>
      </c>
      <c r="J53" s="7">
        <f>IF(ISNUMBER(G53),IF(ABS(G53-H53)&lt;=0.5*10^(-I53)+1E-9,"matches","MISMATCH"),"pending")</f>
        <v/>
      </c>
      <c r="K53" s="7" t="inlineStr">
        <is>
          <t>Median among detected onsets</t>
        </is>
      </c>
      <c r="L53" s="7" t="inlineStr"/>
      <c r="M53" s="7" t="inlineStr">
        <is>
          <t>two-hour | median lead (IQR)</t>
        </is>
      </c>
    </row>
    <row r="54">
      <c r="A54" s="7" t="inlineStr">
        <is>
          <t>C-2H-08</t>
        </is>
      </c>
      <c r="B54" s="7" t="inlineStr">
        <is>
          <t>Two-hour lead IQR 5–65 min (lower)</t>
        </is>
      </c>
      <c r="C54" s="7" t="inlineStr">
        <is>
          <t>README.md (Results at a glance); reports/evidence_manifest.md</t>
        </is>
      </c>
      <c r="D54" s="7" t="inlineStr">
        <is>
          <t>Participant-held-out internal (14 CGMacros people, each held out once; previously inspected)</t>
        </is>
      </c>
      <c r="E54" s="7" t="inlineStr">
        <is>
          <t>supported</t>
        </is>
      </c>
      <c r="F54" s="7" t="inlineStr">
        <is>
          <t>2h.w.qualified_lead_iqr_lo</t>
        </is>
      </c>
      <c r="G54" s="8">
        <f>IF(AND(ISNUMBER(Sources!$C$242)),Sources!$C$242,"unavailable")</f>
        <v/>
      </c>
      <c r="H54" s="7" t="n">
        <v>5</v>
      </c>
      <c r="I54" s="7" t="n">
        <v>0</v>
      </c>
      <c r="J54" s="7">
        <f>IF(ISNUMBER(G54),IF(ABS(G54-H54)&lt;=0.5*10^(-I54)+1E-9,"matches","MISMATCH"),"pending")</f>
        <v/>
      </c>
      <c r="K54" s="7" t="inlineStr"/>
      <c r="L54" s="7" t="inlineStr"/>
      <c r="M54" s="7" t="inlineStr"/>
    </row>
    <row r="55">
      <c r="A55" s="7" t="inlineStr">
        <is>
          <t>C-2H-09</t>
        </is>
      </c>
      <c r="B55" s="7" t="inlineStr">
        <is>
          <t>Two-hour lead IQR 5–65 min (upper)</t>
        </is>
      </c>
      <c r="C55" s="7" t="inlineStr">
        <is>
          <t>README.md (Results at a glance); reports/evidence_manifest.md</t>
        </is>
      </c>
      <c r="D55" s="7" t="inlineStr">
        <is>
          <t>Participant-held-out internal (14 CGMacros people, each held out once; previously inspected)</t>
        </is>
      </c>
      <c r="E55" s="7" t="inlineStr">
        <is>
          <t>supported</t>
        </is>
      </c>
      <c r="F55" s="7" t="inlineStr">
        <is>
          <t>2h.w.qualified_lead_iqr_hi</t>
        </is>
      </c>
      <c r="G55" s="8">
        <f>IF(AND(ISNUMBER(Sources!$C$243)),Sources!$C$243,"unavailable")</f>
        <v/>
      </c>
      <c r="H55" s="7" t="n">
        <v>65</v>
      </c>
      <c r="I55" s="7" t="n">
        <v>0</v>
      </c>
      <c r="J55" s="7">
        <f>IF(ISNUMBER(G55),IF(ABS(G55-H55)&lt;=0.5*10^(-I55)+1E-9,"matches","MISMATCH"),"pending")</f>
        <v/>
      </c>
      <c r="K55" s="7" t="inlineStr"/>
      <c r="L55" s="7" t="inlineStr"/>
      <c r="M55" s="7" t="inlineStr"/>
    </row>
    <row r="56">
      <c r="A56" s="7" t="inlineStr">
        <is>
          <t>C-2H-10</t>
        </is>
      </c>
      <c r="B56" s="7" t="inlineStr">
        <is>
          <t>Two-hour ranges covered 76.5 % (target 80 %)</t>
        </is>
      </c>
      <c r="C56" s="7" t="inlineStr">
        <is>
          <t>README.md (Results at a glance); reports/evidence_manifest.md</t>
        </is>
      </c>
      <c r="D56" s="7" t="inlineStr">
        <is>
          <t>Participant-held-out internal (14 CGMacros people, each held out once; previously inspected)</t>
        </is>
      </c>
      <c r="E56" s="7" t="inlineStr">
        <is>
          <t>supported</t>
        </is>
      </c>
      <c r="F56" s="7" t="inlineStr">
        <is>
          <t>2h.cov120</t>
        </is>
      </c>
      <c r="G56" s="8">
        <f>IF(AND(ISNUMBER(Sources!$C$244)),Sources!$C$244*100,"unavailable")</f>
        <v/>
      </c>
      <c r="H56" s="7" t="n">
        <v>76.5</v>
      </c>
      <c r="I56" s="7" t="n">
        <v>1</v>
      </c>
      <c r="J56" s="7">
        <f>IF(ISNUMBER(G56),IF(ABS(G56-H56)&lt;=0.5*10^(-I56)+1E-9,"matches","MISMATCH"),"pending")</f>
        <v/>
      </c>
      <c r="K56" s="7" t="inlineStr"/>
      <c r="L56" s="7" t="inlineStr"/>
      <c r="M56" s="7" t="inlineStr">
        <is>
          <t>two-hour | coverage 120</t>
        </is>
      </c>
    </row>
    <row r="57">
      <c r="A57" s="7" t="inlineStr">
        <is>
          <t>C-2H-11</t>
        </is>
      </c>
      <c r="B57" s="7" t="inlineStr">
        <is>
          <t>Two-hour profile ablation −0.86 [−2.60, +1.02] (LightGBM)</t>
        </is>
      </c>
      <c r="C57" s="7" t="inlineStr">
        <is>
          <t>README §7; reports/two_hour_benchmark.md</t>
        </is>
      </c>
      <c r="D57" s="7" t="inlineStr">
        <is>
          <t>Participant-held-out internal (14 CGMacros people, each held out once; previously inspected)</t>
        </is>
      </c>
      <c r="E57" s="7" t="inlineStr">
        <is>
          <t>negative-result</t>
        </is>
      </c>
      <c r="F57" s="7" t="inlineStr">
        <is>
          <t>2h.prof.d</t>
        </is>
      </c>
      <c r="G57" s="8">
        <f>IF(AND(ISNUMBER(Sources!$C$235)),Sources!$C$235,"unavailable")</f>
        <v/>
      </c>
      <c r="H57" s="7" t="n">
        <v>-0.86</v>
      </c>
      <c r="I57" s="7" t="n">
        <v>2</v>
      </c>
      <c r="J57" s="7">
        <f>IF(ISNUMBER(G57),IF(ABS(G57-H57)&lt;=0.5*10^(-I57)+1E-9,"matches","MISMATCH"),"pending")</f>
        <v/>
      </c>
      <c r="K57" s="7" t="inlineStr">
        <is>
          <t>CI crosses zero</t>
        </is>
      </c>
      <c r="L57" s="7" t="inlineStr"/>
      <c r="M57" s="7" t="inlineStr">
        <is>
          <t>two-hour | profile ablation 120 (LightGBM)</t>
        </is>
      </c>
    </row>
    <row r="58">
      <c r="A58" s="7" t="inlineStr">
        <is>
          <t>C-2X-01</t>
        </is>
      </c>
      <c r="B58" s="7" t="inlineStr">
        <is>
          <t>External two-hour MAE 29.55 at 120 min (D-045)</t>
        </is>
      </c>
      <c r="C58" s="7" t="inlineStr">
        <is>
          <t>README.md (Results at a glance); reports/evidence_manifest.md</t>
        </is>
      </c>
      <c r="D58" s="7" t="inlineStr">
        <is>
          <t>External ShanghaiT2DM, 98 people, CGM-only procedure (not the serving fusion model)</t>
        </is>
      </c>
      <c r="E58" s="7" t="inlineStr">
        <is>
          <t>supported</t>
        </is>
      </c>
      <c r="F58" s="7" t="inlineStr">
        <is>
          <t>2hx.mae120</t>
        </is>
      </c>
      <c r="G58" s="8">
        <f>IF(AND(ISNUMBER(Sources!$C$251)),Sources!$C$251,"unavailable")</f>
        <v/>
      </c>
      <c r="H58" s="7" t="n">
        <v>29.55</v>
      </c>
      <c r="I58" s="7" t="n">
        <v>2</v>
      </c>
      <c r="J58" s="7">
        <f>IF(ISNUMBER(G58),IF(ABS(G58-H58)&lt;=0.5*10^(-I58)+1E-9,"matches","MISMATCH"),"pending")</f>
        <v/>
      </c>
      <c r="K58" s="7" t="inlineStr">
        <is>
          <t>Second opening of this cohort</t>
        </is>
      </c>
      <c r="L58" s="7" t="inlineStr"/>
      <c r="M58" s="7" t="inlineStr">
        <is>
          <t>two-hour-external | MAE 120</t>
        </is>
      </c>
    </row>
    <row r="59">
      <c r="A59" s="7" t="inlineStr">
        <is>
          <t>C-2X-02</t>
        </is>
      </c>
      <c r="B59" s="7" t="inlineStr">
        <is>
          <t>External two-hour persistence 31.68</t>
        </is>
      </c>
      <c r="C59" s="7" t="inlineStr">
        <is>
          <t>README.md (Results at a glance); reports/evidence_manifest.md</t>
        </is>
      </c>
      <c r="D59" s="7" t="inlineStr">
        <is>
          <t>External ShanghaiT2DM, 98 people, CGM-only procedure (not the serving fusion model)</t>
        </is>
      </c>
      <c r="E59" s="7" t="inlineStr">
        <is>
          <t>supported</t>
        </is>
      </c>
      <c r="F59" s="7" t="inlineStr">
        <is>
          <t>2hx.pers120</t>
        </is>
      </c>
      <c r="G59" s="8">
        <f>IF(AND(ISNUMBER(Sources!$C$252)),Sources!$C$252,"unavailable")</f>
        <v/>
      </c>
      <c r="H59" s="7" t="n">
        <v>31.68</v>
      </c>
      <c r="I59" s="7" t="n">
        <v>2</v>
      </c>
      <c r="J59" s="7">
        <f>IF(ISNUMBER(G59),IF(ABS(G59-H59)&lt;=0.5*10^(-I59)+1E-9,"matches","MISMATCH"),"pending")</f>
        <v/>
      </c>
      <c r="K59" s="7" t="inlineStr">
        <is>
          <t>Source value 31.675 is an exact rounding tie at the source's own precision; stated 31.68 is one of its two valid roundings</t>
        </is>
      </c>
      <c r="L59" s="7" t="inlineStr"/>
      <c r="M59" s="7" t="inlineStr">
        <is>
          <t>two-hour-external | persistence 120</t>
        </is>
      </c>
    </row>
    <row r="60">
      <c r="A60" s="7" t="inlineStr">
        <is>
          <t>C-2X-03</t>
        </is>
      </c>
      <c r="B60" s="7" t="inlineStr">
        <is>
          <t>External two-hour difference −2.12 mg/dL</t>
        </is>
      </c>
      <c r="C60" s="7" t="inlineStr">
        <is>
          <t>README.md (Results at a glance); reports/evidence_manifest.md</t>
        </is>
      </c>
      <c r="D60" s="7" t="inlineStr">
        <is>
          <t>External ShanghaiT2DM, 98 people, CGM-only procedure (not the serving fusion model)</t>
        </is>
      </c>
      <c r="E60" s="7" t="inlineStr">
        <is>
          <t>supported</t>
        </is>
      </c>
      <c r="F60" s="7" t="inlineStr">
        <is>
          <t>2hx.cmp.mean_diff</t>
        </is>
      </c>
      <c r="G60" s="8">
        <f>IF(AND(ISNUMBER(Sources!$C$253)),Sources!$C$253,"unavailable")</f>
        <v/>
      </c>
      <c r="H60" s="7" t="n">
        <v>-2.12</v>
      </c>
      <c r="I60" s="7" t="n">
        <v>2</v>
      </c>
      <c r="J60" s="7">
        <f>IF(ISNUMBER(G60),IF(ABS(G60-H60)&lt;=0.5*10^(-I60)+1E-9,"matches","MISMATCH"),"pending")</f>
        <v/>
      </c>
      <c r="K60" s="7" t="inlineStr"/>
      <c r="L60" s="7" t="inlineStr"/>
      <c r="M60" s="7" t="inlineStr">
        <is>
          <t>two-hour-external | difference (95 % CI)</t>
        </is>
      </c>
    </row>
    <row r="61">
      <c r="A61" s="7" t="inlineStr">
        <is>
          <t>C-2X-04</t>
        </is>
      </c>
      <c r="B61" s="7" t="inlineStr">
        <is>
          <t>External two-hour CI lower −2.67</t>
        </is>
      </c>
      <c r="C61" s="7" t="inlineStr">
        <is>
          <t>README.md (Results at a glance); reports/evidence_manifest.md</t>
        </is>
      </c>
      <c r="D61" s="7" t="inlineStr">
        <is>
          <t>External ShanghaiT2DM, 98 people, CGM-only procedure (not the serving fusion model)</t>
        </is>
      </c>
      <c r="E61" s="7" t="inlineStr">
        <is>
          <t>supported</t>
        </is>
      </c>
      <c r="F61" s="7" t="inlineStr">
        <is>
          <t>2hx.cmp.lo</t>
        </is>
      </c>
      <c r="G61" s="8">
        <f>IF(AND(ISNUMBER(Sources!$C$254)),Sources!$C$254,"unavailable")</f>
        <v/>
      </c>
      <c r="H61" s="7" t="n">
        <v>-2.67</v>
      </c>
      <c r="I61" s="7" t="n">
        <v>2</v>
      </c>
      <c r="J61" s="7">
        <f>IF(ISNUMBER(G61),IF(ABS(G61-H61)&lt;=0.5*10^(-I61)+1E-9,"matches","MISMATCH"),"pending")</f>
        <v/>
      </c>
      <c r="K61" s="7" t="inlineStr"/>
      <c r="L61" s="7" t="inlineStr"/>
      <c r="M61" s="7" t="inlineStr"/>
    </row>
    <row r="62">
      <c r="A62" s="7" t="inlineStr">
        <is>
          <t>C-2X-05</t>
        </is>
      </c>
      <c r="B62" s="7" t="inlineStr">
        <is>
          <t>External two-hour CI upper −1.53</t>
        </is>
      </c>
      <c r="C62" s="7" t="inlineStr">
        <is>
          <t>README.md (Results at a glance); reports/evidence_manifest.md</t>
        </is>
      </c>
      <c r="D62" s="7" t="inlineStr">
        <is>
          <t>External ShanghaiT2DM, 98 people, CGM-only procedure (not the serving fusion model)</t>
        </is>
      </c>
      <c r="E62" s="7" t="inlineStr">
        <is>
          <t>supported</t>
        </is>
      </c>
      <c r="F62" s="7" t="inlineStr">
        <is>
          <t>2hx.cmp.hi</t>
        </is>
      </c>
      <c r="G62" s="8">
        <f>IF(AND(ISNUMBER(Sources!$C$255)),Sources!$C$255,"unavailable")</f>
        <v/>
      </c>
      <c r="H62" s="7" t="n">
        <v>-1.53</v>
      </c>
      <c r="I62" s="7" t="n">
        <v>2</v>
      </c>
      <c r="J62" s="7">
        <f>IF(ISNUMBER(G62),IF(ABS(G62-H62)&lt;=0.5*10^(-I62)+1E-9,"matches","MISMATCH"),"pending")</f>
        <v/>
      </c>
      <c r="K62" s="7" t="inlineStr"/>
      <c r="L62" s="7" t="inlineStr"/>
      <c r="M62" s="7" t="inlineStr"/>
    </row>
    <row r="63">
      <c r="A63" s="7" t="inlineStr">
        <is>
          <t>C-2X-06</t>
        </is>
      </c>
      <c r="B63" s="7" t="inlineStr">
        <is>
          <t>Better for 78 of 98 people (two-hour external)</t>
        </is>
      </c>
      <c r="C63" s="7" t="inlineStr">
        <is>
          <t>README.md (Results at a glance); reports/evidence_manifest.md</t>
        </is>
      </c>
      <c r="D63" s="7" t="inlineStr">
        <is>
          <t>External ShanghaiT2DM, 98 people, CGM-only procedure (not the serving fusion model)</t>
        </is>
      </c>
      <c r="E63" s="7" t="inlineStr">
        <is>
          <t>supported</t>
        </is>
      </c>
      <c r="F63" s="7" t="inlineStr">
        <is>
          <t>2hx.cmp.improved</t>
        </is>
      </c>
      <c r="G63" s="8">
        <f>IF(AND(ISNUMBER(Sources!$C$256)),Sources!$C$256,"unavailable")</f>
        <v/>
      </c>
      <c r="H63" s="7" t="n">
        <v>78</v>
      </c>
      <c r="I63" s="7" t="n">
        <v>0</v>
      </c>
      <c r="J63" s="7">
        <f>IF(ISNUMBER(G63),IF(ABS(G63-H63)&lt;=0.5*10^(-I63)+1E-9,"matches","MISMATCH"),"pending")</f>
        <v/>
      </c>
      <c r="K63" s="7" t="inlineStr"/>
      <c r="L63" s="7" t="inlineStr"/>
      <c r="M63" s="7" t="inlineStr">
        <is>
          <t>two-hour-external | people better</t>
        </is>
      </c>
    </row>
    <row r="64">
      <c r="A64" s="7" t="inlineStr">
        <is>
          <t>C-2X-07</t>
        </is>
      </c>
      <c r="B64" s="7" t="inlineStr">
        <is>
          <t>External two-hour 98 participants</t>
        </is>
      </c>
      <c r="C64" s="7" t="inlineStr">
        <is>
          <t>README.md (Results at a glance); reports/evidence_manifest.md; Deck s11</t>
        </is>
      </c>
      <c r="D64" s="7" t="inlineStr">
        <is>
          <t>External ShanghaiT2DM, 98 people, CGM-only procedure (not the serving fusion model)</t>
        </is>
      </c>
      <c r="E64" s="7" t="inlineStr">
        <is>
          <t>supported</t>
        </is>
      </c>
      <c r="F64" s="7" t="inlineStr">
        <is>
          <t>2hx.cmp.n</t>
        </is>
      </c>
      <c r="G64" s="8">
        <f>IF(AND(ISNUMBER(Sources!$C$257)),Sources!$C$257,"unavailable")</f>
        <v/>
      </c>
      <c r="H64" s="7" t="n">
        <v>98</v>
      </c>
      <c r="I64" s="7" t="n">
        <v>0</v>
      </c>
      <c r="J64" s="7">
        <f>IF(ISNUMBER(G64),IF(ABS(G64-H64)&lt;=0.5*10^(-I64)+1E-9,"matches","MISMATCH"),"pending")</f>
        <v/>
      </c>
      <c r="K64" s="7" t="inlineStr"/>
      <c r="L64" s="7" t="inlineStr"/>
      <c r="M64" s="7" t="inlineStr"/>
    </row>
    <row r="65">
      <c r="A65" s="7" t="inlineStr">
        <is>
          <t>C-2X-08</t>
        </is>
      </c>
      <c r="B65" s="7" t="inlineStr">
        <is>
          <t>External two-hour MAE 10.90 at 30 min</t>
        </is>
      </c>
      <c r="C65" s="7" t="inlineStr">
        <is>
          <t>README.md (Results at a glance); reports/evidence_manifest.md; Deck s11; narration scene 8</t>
        </is>
      </c>
      <c r="D65" s="7" t="inlineStr">
        <is>
          <t>External ShanghaiT2DM, 98 people, CGM-only procedure (not the serving fusion model)</t>
        </is>
      </c>
      <c r="E65" s="7" t="inlineStr">
        <is>
          <t>supported</t>
        </is>
      </c>
      <c r="F65" s="7" t="inlineStr">
        <is>
          <t>2hx.mae30</t>
        </is>
      </c>
      <c r="G65" s="8">
        <f>IF(AND(ISNUMBER(Sources!$C$247)),Sources!$C$247,"unavailable")</f>
        <v/>
      </c>
      <c r="H65" s="7" t="n">
        <v>10.9</v>
      </c>
      <c r="I65" s="7" t="n">
        <v>2</v>
      </c>
      <c r="J65" s="7">
        <f>IF(ISNUMBER(G65),IF(ABS(G65-H65)&lt;=0.5*10^(-I65)+1E-9,"matches","MISMATCH"),"pending")</f>
        <v/>
      </c>
      <c r="K65" s="7" t="inlineStr"/>
      <c r="L65" s="7" t="inlineStr"/>
      <c r="M65" s="7" t="inlineStr">
        <is>
          <t>two-hour-external | MAE 30 / 60</t>
        </is>
      </c>
    </row>
    <row r="66">
      <c r="A66" s="7" t="inlineStr">
        <is>
          <t>C-2X-09</t>
        </is>
      </c>
      <c r="B66" s="7" t="inlineStr">
        <is>
          <t>External two-hour MAE 19.31 at 60 min</t>
        </is>
      </c>
      <c r="C66" s="7" t="inlineStr">
        <is>
          <t>README.md (Results at a glance); reports/evidence_manifest.md; Deck s11</t>
        </is>
      </c>
      <c r="D66" s="7" t="inlineStr">
        <is>
          <t>External ShanghaiT2DM, 98 people, CGM-only procedure (not the serving fusion model)</t>
        </is>
      </c>
      <c r="E66" s="7" t="inlineStr">
        <is>
          <t>supported</t>
        </is>
      </c>
      <c r="F66" s="7" t="inlineStr">
        <is>
          <t>2hx.mae60</t>
        </is>
      </c>
      <c r="G66" s="8">
        <f>IF(AND(ISNUMBER(Sources!$C$249)),Sources!$C$249,"unavailable")</f>
        <v/>
      </c>
      <c r="H66" s="7" t="n">
        <v>19.31</v>
      </c>
      <c r="I66" s="7" t="n">
        <v>2</v>
      </c>
      <c r="J66" s="7">
        <f>IF(ISNUMBER(G66),IF(ABS(G66-H66)&lt;=0.5*10^(-I66)+1E-9,"matches","MISMATCH"),"pending")</f>
        <v/>
      </c>
      <c r="K66" s="7" t="inlineStr"/>
      <c r="L66" s="7" t="inlineStr"/>
      <c r="M66" s="7" t="inlineStr"/>
    </row>
    <row r="67">
      <c r="A67" s="7" t="inlineStr">
        <is>
          <t>C-2X-10</t>
        </is>
      </c>
      <c r="B67" s="7" t="inlineStr">
        <is>
          <t>External two-hour persistence 12.14 at 30 min</t>
        </is>
      </c>
      <c r="C67" s="7" t="inlineStr">
        <is>
          <t>README.md (Results at a glance); reports/evidence_manifest.md; Deck s11</t>
        </is>
      </c>
      <c r="D67" s="7" t="inlineStr">
        <is>
          <t>External ShanghaiT2DM, 98 people, CGM-only procedure (not the serving fusion model)</t>
        </is>
      </c>
      <c r="E67" s="7" t="inlineStr">
        <is>
          <t>supported</t>
        </is>
      </c>
      <c r="F67" s="7" t="inlineStr">
        <is>
          <t>2hx.pers30</t>
        </is>
      </c>
      <c r="G67" s="8">
        <f>IF(AND(ISNUMBER(Sources!$C$248)),Sources!$C$248,"unavailable")</f>
        <v/>
      </c>
      <c r="H67" s="7" t="n">
        <v>12.14</v>
      </c>
      <c r="I67" s="7" t="n">
        <v>2</v>
      </c>
      <c r="J67" s="7">
        <f>IF(ISNUMBER(G67),IF(ABS(G67-H67)&lt;=0.5*10^(-I67)+1E-9,"matches","MISMATCH"),"pending")</f>
        <v/>
      </c>
      <c r="K67" s="7" t="inlineStr">
        <is>
          <t>Source value 12.145 is an exact rounding tie at the source's own precision; stated 12.14 is one of its two valid roundings</t>
        </is>
      </c>
      <c r="L67" s="7" t="inlineStr"/>
      <c r="M67" s="7" t="inlineStr">
        <is>
          <t>two-hour-external | persistence 30 / 60</t>
        </is>
      </c>
    </row>
    <row r="68">
      <c r="A68" s="7" t="inlineStr">
        <is>
          <t>C-2X-11</t>
        </is>
      </c>
      <c r="B68" s="7" t="inlineStr">
        <is>
          <t>External two-hour persistence 20.44 at 60 min</t>
        </is>
      </c>
      <c r="C68" s="7" t="inlineStr">
        <is>
          <t>README.md (Results at a glance); reports/evidence_manifest.md; Deck s11</t>
        </is>
      </c>
      <c r="D68" s="7" t="inlineStr">
        <is>
          <t>External ShanghaiT2DM, 98 people, CGM-only procedure (not the serving fusion model)</t>
        </is>
      </c>
      <c r="E68" s="7" t="inlineStr">
        <is>
          <t>supported</t>
        </is>
      </c>
      <c r="F68" s="7" t="inlineStr">
        <is>
          <t>2hx.pers60</t>
        </is>
      </c>
      <c r="G68" s="8">
        <f>IF(AND(ISNUMBER(Sources!$C$250)),Sources!$C$250,"unavailable")</f>
        <v/>
      </c>
      <c r="H68" s="7" t="n">
        <v>20.44</v>
      </c>
      <c r="I68" s="7" t="n">
        <v>2</v>
      </c>
      <c r="J68" s="7">
        <f>IF(ISNUMBER(G68),IF(ABS(G68-H68)&lt;=0.5*10^(-I68)+1E-9,"matches","MISMATCH"),"pending")</f>
        <v/>
      </c>
      <c r="K68" s="7" t="inlineStr"/>
      <c r="L68" s="7" t="inlineStr"/>
      <c r="M68" s="7" t="inlineStr"/>
    </row>
    <row r="69">
      <c r="A69" s="7" t="inlineStr">
        <is>
          <t>C-2X-12</t>
        </is>
      </c>
      <c r="B69" s="7" t="inlineStr">
        <is>
          <t>External two-hour ranges covered 87 %</t>
        </is>
      </c>
      <c r="C69" s="7" t="inlineStr">
        <is>
          <t>README.md (Results at a glance); reports/evidence_manifest.md</t>
        </is>
      </c>
      <c r="D69" s="7" t="inlineStr">
        <is>
          <t>External ShanghaiT2DM, 98 people, CGM-only procedure (not the serving fusion model)</t>
        </is>
      </c>
      <c r="E69" s="7" t="inlineStr">
        <is>
          <t>supported</t>
        </is>
      </c>
      <c r="F69" s="7" t="inlineStr">
        <is>
          <t>2hx.cov120</t>
        </is>
      </c>
      <c r="G69" s="8">
        <f>IF(AND(ISNUMBER(Sources!$C$258)),Sources!$C$258*100,"unavailable")</f>
        <v/>
      </c>
      <c r="H69" s="7" t="n">
        <v>87</v>
      </c>
      <c r="I69" s="7" t="n">
        <v>0</v>
      </c>
      <c r="J69" s="7">
        <f>IF(ISNUMBER(G69),IF(ABS(G69-H69)&lt;=0.5*10^(-I69)+1E-9,"matches","MISMATCH"),"pending")</f>
        <v/>
      </c>
      <c r="K69" s="7" t="inlineStr">
        <is>
          <t>Wider than needed (over-coverage)</t>
        </is>
      </c>
      <c r="L69" s="7" t="inlineStr"/>
      <c r="M69" s="7" t="inlineStr">
        <is>
          <t>two-hour-external | coverage 120</t>
        </is>
      </c>
    </row>
    <row r="70">
      <c r="A70" s="7" t="inlineStr">
        <is>
          <t>C-CL-01</t>
        </is>
      </c>
      <c r="B70" s="7" t="inlineStr">
        <is>
          <t>Classifier warned 329 of 329 onsets (D-044)</t>
        </is>
      </c>
      <c r="C70" s="7" t="inlineStr">
        <is>
          <t>README §7; reports/two_hour_classifier.md</t>
        </is>
      </c>
      <c r="D70" s="7" t="inlineStr">
        <is>
          <t>Participant-held-out internal (14 CGMacros people, each held out once; previously inspected)</t>
        </is>
      </c>
      <c r="E70" s="7" t="inlineStr">
        <is>
          <t>negative-result</t>
        </is>
      </c>
      <c r="F70" s="7" t="inlineStr">
        <is>
          <t>clf.detected_onsets</t>
        </is>
      </c>
      <c r="G70" s="8">
        <f>IF(AND(ISNUMBER(Sources!$C$261)),Sources!$C$261,"unavailable")</f>
        <v/>
      </c>
      <c r="H70" s="7" t="n">
        <v>329</v>
      </c>
      <c r="I70" s="7" t="n">
        <v>0</v>
      </c>
      <c r="J70" s="7">
        <f>IF(ISNUMBER(G70),IF(ABS(G70-H70)&lt;=0.5*10^(-I70)+1E-9,"matches","MISMATCH"),"pending")</f>
        <v/>
      </c>
      <c r="K70" s="7" t="inlineStr">
        <is>
          <t>Warned at ~99 % of eligible time: degenerate</t>
        </is>
      </c>
      <c r="L70" s="7" t="inlineStr"/>
      <c r="M70" s="7" t="inlineStr">
        <is>
          <t>classifier-negative | onsets warned</t>
        </is>
      </c>
    </row>
    <row r="71">
      <c r="A71" s="7" t="inlineStr">
        <is>
          <t>C-CL-02</t>
        </is>
      </c>
      <c r="B71" s="7" t="inlineStr">
        <is>
          <t>Classifier 0.18 false alarms per day</t>
        </is>
      </c>
      <c r="C71" s="7" t="inlineStr">
        <is>
          <t>README §7</t>
        </is>
      </c>
      <c r="D71" s="7" t="inlineStr">
        <is>
          <t>Participant-held-out internal (14 CGMacros people, each held out once; previously inspected)</t>
        </is>
      </c>
      <c r="E71" s="7" t="inlineStr">
        <is>
          <t>negative-result</t>
        </is>
      </c>
      <c r="F71" s="7" t="inlineStr">
        <is>
          <t>clf.false_alarms_per_observed_day</t>
        </is>
      </c>
      <c r="G71" s="8">
        <f>IF(AND(ISNUMBER(Sources!$C$263)),Sources!$C$263,"unavailable")</f>
        <v/>
      </c>
      <c r="H71" s="7" t="n">
        <v>0.18</v>
      </c>
      <c r="I71" s="7" t="n">
        <v>2</v>
      </c>
      <c r="J71" s="7">
        <f>IF(ISNUMBER(G71),IF(ABS(G71-H71)&lt;=0.5*10^(-I71)+1E-9,"matches","MISMATCH"),"pending")</f>
        <v/>
      </c>
      <c r="K71" s="7" t="inlineStr"/>
      <c r="L71" s="7" t="inlineStr"/>
      <c r="M71" s="7" t="inlineStr">
        <is>
          <t>classifier-negative | false alarms per day</t>
        </is>
      </c>
    </row>
    <row r="72">
      <c r="A72" s="7" t="inlineStr">
        <is>
          <t>C-CL-03</t>
        </is>
      </c>
      <c r="B72" s="7" t="inlineStr">
        <is>
          <t>Classifier warning active at 99 % of eligible time</t>
        </is>
      </c>
      <c r="C72" s="7" t="inlineStr">
        <is>
          <t>README §7</t>
        </is>
      </c>
      <c r="D72" s="7" t="inlineStr">
        <is>
          <t>Participant-held-out internal (14 CGMacros people, each held out once; previously inspected)</t>
        </is>
      </c>
      <c r="E72" s="7" t="inlineStr">
        <is>
          <t>negative-result</t>
        </is>
      </c>
      <c r="F72" s="7" t="inlineStr">
        <is>
          <t>clf.share_of_eligible_time_warning</t>
        </is>
      </c>
      <c r="G72" s="8">
        <f>IF(AND(ISNUMBER(Sources!$C$264)),Sources!$C$264*100,"unavailable")</f>
        <v/>
      </c>
      <c r="H72" s="7" t="n">
        <v>99</v>
      </c>
      <c r="I72" s="7" t="n">
        <v>0</v>
      </c>
      <c r="J72" s="7">
        <f>IF(ISNUMBER(G72),IF(ABS(G72-H72)&lt;=0.5*10^(-I72)+1E-9,"matches","MISMATCH"),"pending")</f>
        <v/>
      </c>
      <c r="K72" s="7" t="inlineStr"/>
      <c r="L72" s="7" t="inlineStr"/>
      <c r="M72" s="7" t="inlineStr">
        <is>
          <t>classifier-negative | share of eligible time warning</t>
        </is>
      </c>
    </row>
    <row r="73">
      <c r="A73" s="7" t="inlineStr">
        <is>
          <t>C-CL-04</t>
        </is>
      </c>
      <c r="B73" s="7" t="inlineStr">
        <is>
          <t>Classifier ROC AUC 0.64</t>
        </is>
      </c>
      <c r="C73" s="7" t="inlineStr">
        <is>
          <t>README §7</t>
        </is>
      </c>
      <c r="D73" s="7" t="inlineStr">
        <is>
          <t>Participant-held-out internal (14 CGMacros people, each held out once; previously inspected)</t>
        </is>
      </c>
      <c r="E73" s="7" t="inlineStr">
        <is>
          <t>negative-result</t>
        </is>
      </c>
      <c r="F73" s="7" t="inlineStr">
        <is>
          <t>clf.origin_roc_auc</t>
        </is>
      </c>
      <c r="G73" s="8">
        <f>IF(AND(ISNUMBER(Sources!$C$265)),Sources!$C$265,"unavailable")</f>
        <v/>
      </c>
      <c r="H73" s="7" t="n">
        <v>0.64</v>
      </c>
      <c r="I73" s="7" t="n">
        <v>2</v>
      </c>
      <c r="J73" s="7">
        <f>IF(ISNUMBER(G73),IF(ABS(G73-H73)&lt;=0.5*10^(-I73)+1E-9,"matches","MISMATCH"),"pending")</f>
        <v/>
      </c>
      <c r="K73" s="7" t="inlineStr"/>
      <c r="L73" s="7" t="inlineStr"/>
      <c r="M73" s="7" t="inlineStr">
        <is>
          <t>classifier-negative | ROC AUC</t>
        </is>
      </c>
    </row>
    <row r="74">
      <c r="A74" s="7" t="inlineStr">
        <is>
          <t>C-46-01</t>
        </is>
      </c>
      <c r="B74" s="7" t="inlineStr">
        <is>
          <t>Two-hour coverage before pooled calibration 76.5 %</t>
        </is>
      </c>
      <c r="C74" s="7" t="inlineStr">
        <is>
          <t>README.md (Results at a glance); reports/evidence_manifest.md</t>
        </is>
      </c>
      <c r="D74" s="7" t="inlineStr">
        <is>
          <t>Participant-held-out internal (14 CGMacros people, each held out once; previously inspected) — re-analysis</t>
        </is>
      </c>
      <c r="E74" s="7" t="inlineStr">
        <is>
          <t>supported</t>
        </is>
      </c>
      <c r="F74" s="7" t="inlineStr">
        <is>
          <t>wr.b0.cov120</t>
        </is>
      </c>
      <c r="G74" s="8">
        <f>IF(AND(ISNUMBER(Sources!$C$270)),Sources!$C$270*100,"unavailable")</f>
        <v/>
      </c>
      <c r="H74" s="7" t="n">
        <v>76.5</v>
      </c>
      <c r="I74" s="7" t="n">
        <v>1</v>
      </c>
      <c r="J74" s="7">
        <f>IF(ISNUMBER(G74),IF(ABS(G74-H74)&lt;=0.5*10^(-I74)+1E-9,"matches","MISMATCH"),"pending")</f>
        <v/>
      </c>
      <c r="K74" s="7" t="inlineStr"/>
      <c r="L74" s="7" t="inlineStr"/>
      <c r="M74" s="7" t="inlineStr">
        <is>
          <t>d046-ranges | coverage 120 before</t>
        </is>
      </c>
    </row>
    <row r="75">
      <c r="A75" s="7" t="inlineStr">
        <is>
          <t>C-46-02</t>
        </is>
      </c>
      <c r="B75" s="7" t="inlineStr">
        <is>
          <t>Pooled calibration brought two-hour coverage to 79.8 % (D-046 B)</t>
        </is>
      </c>
      <c r="C75" s="7" t="inlineStr">
        <is>
          <t>README.md (Results at a glance); reports/evidence_manifest.md; narration scene 16</t>
        </is>
      </c>
      <c r="D75" s="7" t="inlineStr">
        <is>
          <t>Participant-held-out internal (14 CGMacros people, each held out once; previously inspected) — re-analysis</t>
        </is>
      </c>
      <c r="E75" s="7" t="inlineStr">
        <is>
          <t>supported</t>
        </is>
      </c>
      <c r="F75" s="7" t="inlineStr">
        <is>
          <t>wr.b1.cov120</t>
        </is>
      </c>
      <c r="G75" s="8">
        <f>IF(AND(ISNUMBER(Sources!$C$274)),Sources!$C$274*100,"unavailable")</f>
        <v/>
      </c>
      <c r="H75" s="7" t="n">
        <v>79.8</v>
      </c>
      <c r="I75" s="7" t="n">
        <v>1</v>
      </c>
      <c r="J75" s="7">
        <f>IF(ISNUMBER(G75),IF(ABS(G75-H75)&lt;=0.5*10^(-I75)+1E-9,"matches","MISMATCH"),"pending")</f>
        <v/>
      </c>
      <c r="K75" s="7" t="inlineStr">
        <is>
          <t>Not applied to the demo model</t>
        </is>
      </c>
      <c r="L75" s="7" t="inlineStr"/>
      <c r="M75" s="7" t="inlineStr">
        <is>
          <t>d046-ranges | coverage 120 after</t>
        </is>
      </c>
    </row>
    <row r="76">
      <c r="A76" s="7" t="inlineStr">
        <is>
          <t>C-46-03</t>
        </is>
      </c>
      <c r="B76" s="7" t="inlineStr">
        <is>
          <t>60-min coverage 78.2 → 79.5 % (before)</t>
        </is>
      </c>
      <c r="C76" s="7" t="inlineStr">
        <is>
          <t>README.md (Results at a glance); reports/evidence_manifest.md</t>
        </is>
      </c>
      <c r="D76" s="7" t="inlineStr">
        <is>
          <t>Participant-held-out internal (14 CGMacros people, each held out once; previously inspected)</t>
        </is>
      </c>
      <c r="E76" s="7" t="inlineStr">
        <is>
          <t>supported</t>
        </is>
      </c>
      <c r="F76" s="7" t="inlineStr">
        <is>
          <t>wr.b0.cov60</t>
        </is>
      </c>
      <c r="G76" s="8">
        <f>IF(AND(ISNUMBER(Sources!$C$268)),Sources!$C$268*100,"unavailable")</f>
        <v/>
      </c>
      <c r="H76" s="7" t="n">
        <v>78.2</v>
      </c>
      <c r="I76" s="7" t="n">
        <v>1</v>
      </c>
      <c r="J76" s="7">
        <f>IF(ISNUMBER(G76),IF(ABS(G76-H76)&lt;=0.5*10^(-I76)+1E-9,"matches","MISMATCH"),"pending")</f>
        <v/>
      </c>
      <c r="K76" s="7" t="inlineStr"/>
      <c r="L76" s="7" t="inlineStr"/>
      <c r="M76" s="7" t="inlineStr">
        <is>
          <t>d046-ranges | coverage 60 before → after</t>
        </is>
      </c>
    </row>
    <row r="77">
      <c r="A77" s="7" t="inlineStr">
        <is>
          <t>C-46-04</t>
        </is>
      </c>
      <c r="B77" s="7" t="inlineStr">
        <is>
          <t>60-min coverage 78.2 → 79.5 % (after)</t>
        </is>
      </c>
      <c r="C77" s="7" t="inlineStr">
        <is>
          <t>README.md (Results at a glance); reports/evidence_manifest.md</t>
        </is>
      </c>
      <c r="D77" s="7" t="inlineStr">
        <is>
          <t>Participant-held-out internal (14 CGMacros people, each held out once; previously inspected)</t>
        </is>
      </c>
      <c r="E77" s="7" t="inlineStr">
        <is>
          <t>supported</t>
        </is>
      </c>
      <c r="F77" s="7" t="inlineStr">
        <is>
          <t>wr.b1.cov60</t>
        </is>
      </c>
      <c r="G77" s="8">
        <f>IF(AND(ISNUMBER(Sources!$C$272)),Sources!$C$272*100,"unavailable")</f>
        <v/>
      </c>
      <c r="H77" s="7" t="n">
        <v>79.5</v>
      </c>
      <c r="I77" s="7" t="n">
        <v>1</v>
      </c>
      <c r="J77" s="7">
        <f>IF(ISNUMBER(G77),IF(ABS(G77-H77)&lt;=0.5*10^(-I77)+1E-9,"matches","MISMATCH"),"pending")</f>
        <v/>
      </c>
      <c r="K77" s="7" t="inlineStr"/>
      <c r="L77" s="7" t="inlineStr"/>
      <c r="M77" s="7" t="inlineStr"/>
    </row>
    <row r="78">
      <c r="A78" s="7" t="inlineStr">
        <is>
          <t>C-46-05</t>
        </is>
      </c>
      <c r="B78" s="7" t="inlineStr">
        <is>
          <t>Pooled ranges 7 mg/dL wider at 120 min</t>
        </is>
      </c>
      <c r="C78" s="7" t="inlineStr">
        <is>
          <t>README.md (Results at a glance); reports/evidence_manifest.md</t>
        </is>
      </c>
      <c r="D78" s="7" t="inlineStr">
        <is>
          <t>Participant-held-out internal (14 CGMacros people, each held out once; previously inspected)</t>
        </is>
      </c>
      <c r="E78" s="7" t="inlineStr">
        <is>
          <t>supported</t>
        </is>
      </c>
      <c r="F78" s="7" t="inlineStr">
        <is>
          <t>wr.b1.width120; wr.b0.width120</t>
        </is>
      </c>
      <c r="G78" s="8">
        <f>IF(AND(ISNUMBER(Sources!$C$275),ISNUMBER(Sources!$C$271)),Sources!$C$275-Sources!$C$271,"unavailable")</f>
        <v/>
      </c>
      <c r="H78" s="7" t="n">
        <v>7</v>
      </c>
      <c r="I78" s="7" t="n">
        <v>0</v>
      </c>
      <c r="J78" s="7">
        <f>IF(ISNUMBER(G78),IF(ABS(G78-H78)&lt;=0.5*10^(-I78)+1E-9,"matches","MISMATCH"),"pending")</f>
        <v/>
      </c>
      <c r="K78" s="7" t="inlineStr"/>
      <c r="L78" s="7" t="inlineStr"/>
      <c r="M78" s="7" t="inlineStr">
        <is>
          <t>d046-ranges | width increase</t>
        </is>
      </c>
    </row>
    <row r="79">
      <c r="A79" s="7" t="inlineStr">
        <is>
          <t>C-46-06</t>
        </is>
      </c>
      <c r="B79" s="7" t="inlineStr">
        <is>
          <t>Per-person median coverage 81.2 % at 120 min</t>
        </is>
      </c>
      <c r="C79" s="7" t="inlineStr">
        <is>
          <t>README §7</t>
        </is>
      </c>
      <c r="D79" s="7" t="inlineStr">
        <is>
          <t>Participant-held-out internal (14 CGMacros people, each held out once; previously inspected)</t>
        </is>
      </c>
      <c r="E79" s="7" t="inlineStr">
        <is>
          <t>supported</t>
        </is>
      </c>
      <c r="F79" s="7" t="inlineStr">
        <is>
          <t>wr.b1.pmed120</t>
        </is>
      </c>
      <c r="G79" s="8">
        <f>IF(AND(ISNUMBER(Sources!$C$276)),Sources!$C$276*100,"unavailable")</f>
        <v/>
      </c>
      <c r="H79" s="7" t="n">
        <v>81.2</v>
      </c>
      <c r="I79" s="7" t="n">
        <v>1</v>
      </c>
      <c r="J79" s="7">
        <f>IF(ISNUMBER(G79),IF(ABS(G79-H79)&lt;=0.5*10^(-I79)+1E-9,"matches","MISMATCH"),"pending")</f>
        <v/>
      </c>
      <c r="K79" s="7" t="inlineStr"/>
      <c r="L79" s="7" t="inlineStr"/>
      <c r="M79" s="7" t="inlineStr">
        <is>
          <t>d046-ranges | per-person median coverage 120</t>
        </is>
      </c>
    </row>
    <row r="80">
      <c r="A80" s="7" t="inlineStr">
        <is>
          <t>C-46-07</t>
        </is>
      </c>
      <c r="B80" s="7" t="inlineStr">
        <is>
          <t>Earlier warning: 126 vs 123 of 329 warned ≥ 30 min (selected vs incumbent)</t>
        </is>
      </c>
      <c r="C80" s="7" t="inlineStr">
        <is>
          <t>README §7</t>
        </is>
      </c>
      <c r="D80" s="7" t="inlineStr">
        <is>
          <t>Participant-held-out internal (14 CGMacros people, each held out once; previously inspected)</t>
        </is>
      </c>
      <c r="E80" s="7" t="inlineStr">
        <is>
          <t>negative-result</t>
        </is>
      </c>
      <c r="F80" s="7" t="inlineStr">
        <is>
          <t>wr.early.sel</t>
        </is>
      </c>
      <c r="G80" s="8">
        <f>IF(AND(ISNUMBER(Sources!$C$277)),Sources!$C$277,"unavailable")</f>
        <v/>
      </c>
      <c r="H80" s="7" t="n">
        <v>126</v>
      </c>
      <c r="I80" s="7" t="n">
        <v>0</v>
      </c>
      <c r="J80" s="7">
        <f>IF(ISNUMBER(G80),IF(ABS(G80-H80)&lt;=0.5*10^(-I80)+1E-9,"matches","MISMATCH"),"pending")</f>
        <v/>
      </c>
      <c r="K80" s="7" t="inlineStr"/>
      <c r="L80" s="7" t="inlineStr"/>
      <c r="M80" s="7" t="inlineStr">
        <is>
          <t>d046-earlier-warning | warned ≥ 30 min ahead, selected vs incumbent</t>
        </is>
      </c>
    </row>
    <row r="81">
      <c r="A81" s="7" t="inlineStr">
        <is>
          <t>C-46-08</t>
        </is>
      </c>
      <c r="B81" s="7" t="inlineStr">
        <is>
          <t>Incumbent warned 123 of 329 ≥ 30 min ahead</t>
        </is>
      </c>
      <c r="C81" s="7" t="inlineStr">
        <is>
          <t>README §7</t>
        </is>
      </c>
      <c r="D81" s="7" t="inlineStr">
        <is>
          <t>Participant-held-out internal (14 CGMacros people, each held out once; previously inspected)</t>
        </is>
      </c>
      <c r="E81" s="7" t="inlineStr">
        <is>
          <t>supported</t>
        </is>
      </c>
      <c r="F81" s="7" t="inlineStr">
        <is>
          <t>wr.early.inc</t>
        </is>
      </c>
      <c r="G81" s="8">
        <f>IF(AND(ISNUMBER(Sources!$C$278)),Sources!$C$278,"unavailable")</f>
        <v/>
      </c>
      <c r="H81" s="7" t="n">
        <v>123</v>
      </c>
      <c r="I81" s="7" t="n">
        <v>0</v>
      </c>
      <c r="J81" s="7">
        <f>IF(ISNUMBER(G81),IF(ABS(G81-H81)&lt;=0.5*10^(-I81)+1E-9,"matches","MISMATCH"),"pending")</f>
        <v/>
      </c>
      <c r="K81" s="7" t="inlineStr"/>
      <c r="L81" s="7" t="inlineStr"/>
      <c r="M81" s="7" t="inlineStr"/>
    </row>
    <row r="82">
      <c r="A82" s="7" t="inlineStr">
        <is>
          <t>C-46-09</t>
        </is>
      </c>
      <c r="B82" s="7" t="inlineStr">
        <is>
          <t>Earlier-warning difference +0.9 points</t>
        </is>
      </c>
      <c r="C82" s="7" t="inlineStr">
        <is>
          <t>README §7; docs/decisions.md D-046</t>
        </is>
      </c>
      <c r="D82" s="7" t="inlineStr">
        <is>
          <t>Participant-held-out internal (14 CGMacros people, each held out once; previously inspected)</t>
        </is>
      </c>
      <c r="E82" s="7" t="inlineStr">
        <is>
          <t>negative-result</t>
        </is>
      </c>
      <c r="F82" s="7" t="inlineStr">
        <is>
          <t>wr.diff.d</t>
        </is>
      </c>
      <c r="G82" s="8">
        <f>IF(AND(ISNUMBER(Sources!$C$281)),Sources!$C$281*100,"unavailable")</f>
        <v/>
      </c>
      <c r="H82" s="7" t="n">
        <v>0.9</v>
      </c>
      <c r="I82" s="7" t="n">
        <v>1</v>
      </c>
      <c r="J82" s="7">
        <f>IF(ISNUMBER(G82),IF(ABS(G82-H82)&lt;=0.5*10^(-I82)+1E-9,"matches","MISMATCH"),"pending")</f>
        <v/>
      </c>
      <c r="K82" s="7" t="inlineStr">
        <is>
          <t>CI [−5.5, +6.6] crosses zero</t>
        </is>
      </c>
      <c r="L82" s="7" t="inlineStr"/>
      <c r="M82" s="7" t="inlineStr">
        <is>
          <t>d046-earlier-warning | difference (95 % CI)</t>
        </is>
      </c>
    </row>
    <row r="83">
      <c r="A83" s="7" t="inlineStr">
        <is>
          <t>C-46-10</t>
        </is>
      </c>
      <c r="B83" s="7" t="inlineStr">
        <is>
          <t>Earlier-warning CI lower −5.5 points</t>
        </is>
      </c>
      <c r="C83" s="7" t="inlineStr">
        <is>
          <t>README §7</t>
        </is>
      </c>
      <c r="D83" s="7" t="inlineStr">
        <is>
          <t>Participant-held-out internal (14 CGMacros people, each held out once; previously inspected)</t>
        </is>
      </c>
      <c r="E83" s="7" t="inlineStr">
        <is>
          <t>supported</t>
        </is>
      </c>
      <c r="F83" s="7" t="inlineStr">
        <is>
          <t>wr.diff.lo</t>
        </is>
      </c>
      <c r="G83" s="8">
        <f>IF(AND(ISNUMBER(Sources!$C$282)),Sources!$C$282*100,"unavailable")</f>
        <v/>
      </c>
      <c r="H83" s="7" t="n">
        <v>-5.5</v>
      </c>
      <c r="I83" s="7" t="n">
        <v>1</v>
      </c>
      <c r="J83" s="7">
        <f>IF(ISNUMBER(G83),IF(ABS(G83-H83)&lt;=0.5*10^(-I83)+1E-9,"matches","MISMATCH"),"pending")</f>
        <v/>
      </c>
      <c r="K83" s="7" t="inlineStr"/>
      <c r="L83" s="7" t="inlineStr"/>
      <c r="M83" s="7" t="inlineStr"/>
    </row>
    <row r="84">
      <c r="A84" s="7" t="inlineStr">
        <is>
          <t>C-46-11</t>
        </is>
      </c>
      <c r="B84" s="7" t="inlineStr">
        <is>
          <t>Earlier-warning CI upper +6.6 points</t>
        </is>
      </c>
      <c r="C84" s="7" t="inlineStr">
        <is>
          <t>README §7</t>
        </is>
      </c>
      <c r="D84" s="7" t="inlineStr">
        <is>
          <t>Participant-held-out internal (14 CGMacros people, each held out once; previously inspected)</t>
        </is>
      </c>
      <c r="E84" s="7" t="inlineStr">
        <is>
          <t>supported</t>
        </is>
      </c>
      <c r="F84" s="7" t="inlineStr">
        <is>
          <t>wr.diff.hi</t>
        </is>
      </c>
      <c r="G84" s="8">
        <f>IF(AND(ISNUMBER(Sources!$C$283)),Sources!$C$283*100,"unavailable")</f>
        <v/>
      </c>
      <c r="H84" s="7" t="n">
        <v>6.6</v>
      </c>
      <c r="I84" s="7" t="n">
        <v>1</v>
      </c>
      <c r="J84" s="7">
        <f>IF(ISNUMBER(G84),IF(ABS(G84-H84)&lt;=0.5*10^(-I84)+1E-9,"matches","MISMATCH"),"pending")</f>
        <v/>
      </c>
      <c r="K84" s="7" t="inlineStr"/>
      <c r="L84" s="7" t="inlineStr"/>
      <c r="M84" s="7" t="inlineStr"/>
    </row>
    <row r="85">
      <c r="A85" s="7" t="inlineStr">
        <is>
          <t>C-46-12</t>
        </is>
      </c>
      <c r="B85" s="7" t="inlineStr">
        <is>
          <t>Median lead still 15 min (D-046 A)</t>
        </is>
      </c>
      <c r="C85" s="7" t="inlineStr">
        <is>
          <t>README §7</t>
        </is>
      </c>
      <c r="D85" s="7" t="inlineStr">
        <is>
          <t>Participant-held-out internal (14 CGMacros people, each held out once; previously inspected)</t>
        </is>
      </c>
      <c r="E85" s="7" t="inlineStr">
        <is>
          <t>supported</t>
        </is>
      </c>
      <c r="F85" s="7" t="inlineStr">
        <is>
          <t>wr.lead.sel</t>
        </is>
      </c>
      <c r="G85" s="8">
        <f>IF(AND(ISNUMBER(Sources!$C$280)),Sources!$C$280,"unavailable")</f>
        <v/>
      </c>
      <c r="H85" s="7" t="n">
        <v>15</v>
      </c>
      <c r="I85" s="7" t="n">
        <v>0</v>
      </c>
      <c r="J85" s="7">
        <f>IF(ISNUMBER(G85),IF(ABS(G85-H85)&lt;=0.5*10^(-I85)+1E-9,"matches","MISMATCH"),"pending")</f>
        <v/>
      </c>
      <c r="K85" s="7" t="inlineStr"/>
      <c r="L85" s="7" t="inlineStr"/>
      <c r="M85" s="7" t="inlineStr">
        <is>
          <t>d046-earlier-warning | median lead</t>
        </is>
      </c>
    </row>
    <row r="86">
      <c r="A86" s="7" t="inlineStr">
        <is>
          <t>C-46-13</t>
        </is>
      </c>
      <c r="B86" s="7" t="inlineStr">
        <is>
          <t>Profile prior −0.53 mg/dL at 120 min (D-046 C)</t>
        </is>
      </c>
      <c r="C86" s="7" t="inlineStr">
        <is>
          <t>README §7</t>
        </is>
      </c>
      <c r="D86" s="7" t="inlineStr">
        <is>
          <t>Participant-held-out internal (14 CGMacros people, each held out once; previously inspected)</t>
        </is>
      </c>
      <c r="E86" s="7" t="inlineStr">
        <is>
          <t>negative-result</t>
        </is>
      </c>
      <c r="F86" s="7" t="inlineStr">
        <is>
          <t>wr.prior.all.d</t>
        </is>
      </c>
      <c r="G86" s="8">
        <f>IF(AND(ISNUMBER(Sources!$C$284)),Sources!$C$284,"unavailable")</f>
        <v/>
      </c>
      <c r="H86" s="7" t="n">
        <v>-0.53</v>
      </c>
      <c r="I86" s="7" t="n">
        <v>2</v>
      </c>
      <c r="J86" s="7">
        <f>IF(ISNUMBER(G86),IF(ABS(G86-H86)&lt;=0.5*10^(-I86)+1E-9,"matches","MISMATCH"),"pending")</f>
        <v/>
      </c>
      <c r="K86" s="7" t="inlineStr">
        <is>
          <t>CI [−1.57, +0.58] crosses zero</t>
        </is>
      </c>
      <c r="L86" s="7" t="inlineStr"/>
      <c r="M86" s="7" t="inlineStr">
        <is>
          <t>d046-profile-prior | 120 min</t>
        </is>
      </c>
    </row>
    <row r="87">
      <c r="A87" s="7" t="inlineStr">
        <is>
          <t>C-46-14</t>
        </is>
      </c>
      <c r="B87" s="7" t="inlineStr">
        <is>
          <t>Profile prior first 24 h −0.93 mg/dL</t>
        </is>
      </c>
      <c r="C87" s="7" t="inlineStr">
        <is>
          <t>README §7</t>
        </is>
      </c>
      <c r="D87" s="7" t="inlineStr">
        <is>
          <t>Participant-held-out internal (14 CGMacros people, each held out once; previously inspected)</t>
        </is>
      </c>
      <c r="E87" s="7" t="inlineStr">
        <is>
          <t>negative-result</t>
        </is>
      </c>
      <c r="F87" s="7" t="inlineStr">
        <is>
          <t>wr.prior.d1.d</t>
        </is>
      </c>
      <c r="G87" s="8">
        <f>IF(AND(ISNUMBER(Sources!$C$287)),Sources!$C$287,"unavailable")</f>
        <v/>
      </c>
      <c r="H87" s="7" t="n">
        <v>-0.93</v>
      </c>
      <c r="I87" s="7" t="n">
        <v>2</v>
      </c>
      <c r="J87" s="7">
        <f>IF(ISNUMBER(G87),IF(ABS(G87-H87)&lt;=0.5*10^(-I87)+1E-9,"matches","MISMATCH"),"pending")</f>
        <v/>
      </c>
      <c r="K87" s="7" t="inlineStr">
        <is>
          <t>CI [−2.74, +0.48]</t>
        </is>
      </c>
      <c r="L87" s="7" t="inlineStr"/>
      <c r="M87" s="7" t="inlineStr">
        <is>
          <t>d046-profile-prior | 120 min, first 24 h</t>
        </is>
      </c>
    </row>
    <row r="88">
      <c r="A88" s="7" t="inlineStr">
        <is>
          <t>C-SC-01</t>
        </is>
      </c>
      <c r="B88" s="7" t="inlineStr">
        <is>
          <t>145 participants imported</t>
        </is>
      </c>
      <c r="C88" s="7" t="inlineStr">
        <is>
          <t>README §7</t>
        </is>
      </c>
      <c r="D88" s="7" t="inlineStr">
        <is>
          <t>Data inventory</t>
        </is>
      </c>
      <c r="E88" s="7" t="inlineStr">
        <is>
          <t>supported</t>
        </is>
      </c>
      <c r="F88" s="7" t="inlineStr">
        <is>
          <t>inv.cgm; inv.sh</t>
        </is>
      </c>
      <c r="G88" s="8">
        <f>IF(AND(ISNUMBER(Sources!$C$456),ISNUMBER(Sources!$C$457)),Sources!$C$456+Sources!$C$457,"unavailable")</f>
        <v/>
      </c>
      <c r="H88" s="7" t="n">
        <v>145</v>
      </c>
      <c r="I88" s="7" t="n">
        <v>0</v>
      </c>
      <c r="J88" s="7">
        <f>IF(ISNUMBER(G88),IF(ABS(G88-H88)&lt;=0.5*10^(-I88)+1E-9,"matches","MISMATCH"),"pending")</f>
        <v/>
      </c>
      <c r="K88" s="7" t="inlineStr"/>
      <c r="L88" s="7" t="inlineStr"/>
      <c r="M88" s="7" t="inlineStr">
        <is>
          <t>scale | imported</t>
        </is>
      </c>
    </row>
    <row r="89">
      <c r="A89" s="7" t="inlineStr">
        <is>
          <t>C-SC-02</t>
        </is>
      </c>
      <c r="B89" s="7" t="inlineStr">
        <is>
          <t>14 evaluated internally</t>
        </is>
      </c>
      <c r="C89" s="7" t="inlineStr">
        <is>
          <t>README §7</t>
        </is>
      </c>
      <c r="D89" s="7" t="inlineStr">
        <is>
          <t>Data inventory</t>
        </is>
      </c>
      <c r="E89" s="7" t="inlineStr">
        <is>
          <t>supported</t>
        </is>
      </c>
      <c r="F89" s="7" t="inlineStr">
        <is>
          <t>inv.cgm_eval</t>
        </is>
      </c>
      <c r="G89" s="8">
        <f>IF(AND(ISNUMBER(Sources!$C$458)),Sources!$C$458,"unavailable")</f>
        <v/>
      </c>
      <c r="H89" s="7" t="n">
        <v>14</v>
      </c>
      <c r="I89" s="7" t="n">
        <v>0</v>
      </c>
      <c r="J89" s="7">
        <f>IF(ISNUMBER(G89),IF(ABS(G89-H89)&lt;=0.5*10^(-I89)+1E-9,"matches","MISMATCH"),"pending")</f>
        <v/>
      </c>
      <c r="K89" s="7" t="inlineStr"/>
      <c r="L89" s="7" t="inlineStr"/>
      <c r="M89" s="7" t="inlineStr">
        <is>
          <t>scale | evaluated internally</t>
        </is>
      </c>
    </row>
    <row r="90">
      <c r="A90" s="7" t="inlineStr">
        <is>
          <t>C-SC-03</t>
        </is>
      </c>
      <c r="B90" s="7" t="inlineStr">
        <is>
          <t>98 evaluated externally</t>
        </is>
      </c>
      <c r="C90" s="7" t="inlineStr">
        <is>
          <t>README §7</t>
        </is>
      </c>
      <c r="D90" s="7" t="inlineStr">
        <is>
          <t>Data inventory</t>
        </is>
      </c>
      <c r="E90" s="7" t="inlineStr">
        <is>
          <t>supported</t>
        </is>
      </c>
      <c r="F90" s="7" t="inlineStr">
        <is>
          <t>inv.sh_eval</t>
        </is>
      </c>
      <c r="G90" s="8">
        <f>IF(AND(ISNUMBER(Sources!$C$459)),Sources!$C$459,"unavailable")</f>
        <v/>
      </c>
      <c r="H90" s="7" t="n">
        <v>98</v>
      </c>
      <c r="I90" s="7" t="n">
        <v>0</v>
      </c>
      <c r="J90" s="7">
        <f>IF(ISNUMBER(G90),IF(ABS(G90-H90)&lt;=0.5*10^(-I90)+1E-9,"matches","MISMATCH"),"pending")</f>
        <v/>
      </c>
      <c r="K90" s="7" t="inlineStr"/>
      <c r="L90" s="7" t="inlineStr"/>
      <c r="M90" s="7" t="inlineStr">
        <is>
          <t>scale | evaluated externally</t>
        </is>
      </c>
    </row>
    <row r="91">
      <c r="A91" s="7" t="inlineStr">
        <is>
          <t>C-50-01</t>
        </is>
      </c>
      <c r="B91" s="7" t="inlineStr">
        <is>
          <t>D-050 candidate pooled ranges 77.9 % at 30 min (test, retrospective)</t>
        </is>
      </c>
      <c r="C91" s="7" t="inlineStr">
        <is>
          <t>README §7; reports/serving_ranges_study.md</t>
        </is>
      </c>
      <c r="D91" s="7" t="inlineStr">
        <is>
          <t>Serving pipeline, final test (inspected) — candidate, not served</t>
        </is>
      </c>
      <c r="E91" s="7" t="inlineStr">
        <is>
          <t>supported</t>
        </is>
      </c>
      <c r="F91" s="7" t="inlineStr">
        <is>
          <t>rg.pool.cov30</t>
        </is>
      </c>
      <c r="G91" s="8">
        <f>IF(AND(ISNUMBER(Sources!$C$340)),Sources!$C$340*100,"unavailable")</f>
        <v/>
      </c>
      <c r="H91" s="7" t="n">
        <v>77.90000000000001</v>
      </c>
      <c r="I91" s="7" t="n">
        <v>1</v>
      </c>
      <c r="J91" s="7">
        <f>IF(ISNUMBER(G91),IF(ABS(G91-H91)&lt;=0.5*10^(-I91)+1E-9,"matches","MISMATCH"),"pending")</f>
        <v/>
      </c>
      <c r="K91" s="7" t="inlineStr">
        <is>
          <t>Research on inspected data; not the served interval</t>
        </is>
      </c>
      <c r="L91" s="7" t="inlineStr"/>
      <c r="M91" s="7" t="inlineStr">
        <is>
          <t>ranges-d050 | candidate coverage 30 / 60 (G on validation + calibration, test, retrospective)</t>
        </is>
      </c>
    </row>
    <row r="92">
      <c r="A92" s="7" t="inlineStr">
        <is>
          <t>C-50-02</t>
        </is>
      </c>
      <c r="B92" s="7" t="inlineStr">
        <is>
          <t>D-050 candidate pooled ranges 78.7 % at 60 min</t>
        </is>
      </c>
      <c r="C92" s="7" t="inlineStr">
        <is>
          <t>README §7</t>
        </is>
      </c>
      <c r="D92" s="7" t="inlineStr">
        <is>
          <t>Candidate, not served</t>
        </is>
      </c>
      <c r="E92" s="7" t="inlineStr">
        <is>
          <t>supported</t>
        </is>
      </c>
      <c r="F92" s="7" t="inlineStr">
        <is>
          <t>rg.pool.cov60</t>
        </is>
      </c>
      <c r="G92" s="8">
        <f>IF(AND(ISNUMBER(Sources!$C$345)),Sources!$C$345*100,"unavailable")</f>
        <v/>
      </c>
      <c r="H92" s="7" t="n">
        <v>78.7</v>
      </c>
      <c r="I92" s="7" t="n">
        <v>1</v>
      </c>
      <c r="J92" s="7">
        <f>IF(ISNUMBER(G92),IF(ABS(G92-H92)&lt;=0.5*10^(-I92)+1E-9,"matches","MISMATCH"),"pending")</f>
        <v/>
      </c>
      <c r="K92" s="7" t="inlineStr"/>
      <c r="L92" s="7" t="inlineStr"/>
      <c r="M92" s="7" t="inlineStr"/>
    </row>
    <row r="93">
      <c r="A93" s="7" t="inlineStr">
        <is>
          <t>C-50-03</t>
        </is>
      </c>
      <c r="B93" s="7" t="inlineStr">
        <is>
          <t>D-050 served coverage 74.2 % at 30 min</t>
        </is>
      </c>
      <c r="C93" s="7" t="inlineStr">
        <is>
          <t>README §7</t>
        </is>
      </c>
      <c r="D93" s="7" t="inlineStr">
        <is>
          <t>Serving model, final test segment (later recordings of the same 14 people; retrospective, inspected)</t>
        </is>
      </c>
      <c r="E93" s="7" t="inlineStr">
        <is>
          <t>supported</t>
        </is>
      </c>
      <c r="F93" s="7" t="inlineStr">
        <is>
          <t>rg.inc.cov30</t>
        </is>
      </c>
      <c r="G93" s="8">
        <f>IF(AND(ISNUMBER(Sources!$C$324)),Sources!$C$324*100,"unavailable")</f>
        <v/>
      </c>
      <c r="H93" s="7" t="n">
        <v>74.2</v>
      </c>
      <c r="I93" s="7" t="n">
        <v>1</v>
      </c>
      <c r="J93" s="7">
        <f>IF(ISNUMBER(G93),IF(ABS(G93-H93)&lt;=0.5*10^(-I93)+1E-9,"matches","MISMATCH"),"pending")</f>
        <v/>
      </c>
      <c r="K93" s="7" t="inlineStr"/>
      <c r="L93" s="7" t="inlineStr"/>
      <c r="M93" s="7" t="inlineStr">
        <is>
          <t>ranges-d050 | served coverage 30 / 60</t>
        </is>
      </c>
    </row>
    <row r="94">
      <c r="A94" s="7" t="inlineStr">
        <is>
          <t>C-50-04</t>
        </is>
      </c>
      <c r="B94" s="7" t="inlineStr">
        <is>
          <t>D-050 served coverage 74.0 % at 60 min</t>
        </is>
      </c>
      <c r="C94" s="7" t="inlineStr">
        <is>
          <t>README §7</t>
        </is>
      </c>
      <c r="D94" s="7" t="inlineStr">
        <is>
          <t>Serving model, final test segment (later recordings of the same 14 people; retrospective, inspected)</t>
        </is>
      </c>
      <c r="E94" s="7" t="inlineStr">
        <is>
          <t>supported</t>
        </is>
      </c>
      <c r="F94" s="7" t="inlineStr">
        <is>
          <t>rg.inc.cov60</t>
        </is>
      </c>
      <c r="G94" s="8">
        <f>IF(AND(ISNUMBER(Sources!$C$332)),Sources!$C$332*100,"unavailable")</f>
        <v/>
      </c>
      <c r="H94" s="7" t="n">
        <v>74</v>
      </c>
      <c r="I94" s="7" t="n">
        <v>1</v>
      </c>
      <c r="J94" s="7">
        <f>IF(ISNUMBER(G94),IF(ABS(G94-H94)&lt;=0.5*10^(-I94)+1E-9,"matches","MISMATCH"),"pending")</f>
        <v/>
      </c>
      <c r="K94" s="7" t="inlineStr"/>
      <c r="L94" s="7" t="inlineStr"/>
      <c r="M94" s="7" t="inlineStr"/>
    </row>
    <row r="95">
      <c r="A95" s="7" t="inlineStr">
        <is>
          <t>C-50-05</t>
        </is>
      </c>
      <c r="B95" s="7" t="inlineStr">
        <is>
          <t>D-050: served ranges stay (trend-stratified shape not adopted)</t>
        </is>
      </c>
      <c r="C95" s="7" t="inlineStr">
        <is>
          <t>README §7; docs/decisions.md D-050</t>
        </is>
      </c>
      <c r="D95" s="7" t="inlineStr">
        <is>
          <t>Gate</t>
        </is>
      </c>
      <c r="E95" s="7" t="inlineStr">
        <is>
          <t>negative-result</t>
        </is>
      </c>
      <c r="F95" s="7" t="inlineStr">
        <is>
          <t>Gates: D-050; rg.chosen</t>
        </is>
      </c>
      <c r="G95" s="7">
        <f>Gates!$G$37</f>
        <v/>
      </c>
      <c r="H95" s="7" t="inlineStr">
        <is>
          <t>FAILED</t>
        </is>
      </c>
      <c r="I95" s="7" t="n"/>
      <c r="J95" s="7">
        <f>IF(G95=H95,"matches","MISMATCH")</f>
        <v/>
      </c>
      <c r="K95" s="7" t="inlineStr">
        <is>
          <t>Pre-test coverage-error gain below the 1.0-point bar</t>
        </is>
      </c>
      <c r="L95" s="7" t="inlineStr"/>
      <c r="M95" s="7" t="inlineStr">
        <is>
          <t>ranges-d050 | decision</t>
        </is>
      </c>
    </row>
    <row r="96">
      <c r="A96" s="7" t="inlineStr">
        <is>
          <t>C-51-01</t>
        </is>
      </c>
      <c r="B96" s="7" t="inlineStr">
        <is>
          <t>D-051 C0 60-min MAE 22.27</t>
        </is>
      </c>
      <c r="C96" s="7" t="inlineStr">
        <is>
          <t>README §7; reports/tune_study.md</t>
        </is>
      </c>
      <c r="D96" s="7" t="inlineStr">
        <is>
          <t>Participant-held-out internal (14 CGMacros people, each held out once; previously inspected)</t>
        </is>
      </c>
      <c r="E96" s="7" t="inlineStr">
        <is>
          <t>supported</t>
        </is>
      </c>
      <c r="F96" s="7" t="inlineStr">
        <is>
          <t>tu.C0.mae60</t>
        </is>
      </c>
      <c r="G96" s="8">
        <f>IF(AND(ISNUMBER(Sources!$C$351)),Sources!$C$351,"unavailable")</f>
        <v/>
      </c>
      <c r="H96" s="7" t="n">
        <v>22.27</v>
      </c>
      <c r="I96" s="7" t="n">
        <v>2</v>
      </c>
      <c r="J96" s="7">
        <f>IF(ISNUMBER(G96),IF(ABS(G96-H96)&lt;=0.5*10^(-I96)+1E-9,"matches","MISMATCH"),"pending")</f>
        <v/>
      </c>
      <c r="K96" s="7" t="inlineStr"/>
      <c r="L96" s="7" t="inlineStr"/>
      <c r="M96" s="7" t="inlineStr">
        <is>
          <t>tune-d051 | C0 / C1 60-min MAE</t>
        </is>
      </c>
    </row>
    <row r="97">
      <c r="A97" s="7" t="inlineStr">
        <is>
          <t>C-51-02</t>
        </is>
      </c>
      <c r="B97" s="7" t="inlineStr">
        <is>
          <t>D-051 C1 60-min MAE 21.90</t>
        </is>
      </c>
      <c r="C97" s="7" t="inlineStr">
        <is>
          <t>README §7</t>
        </is>
      </c>
      <c r="D97" s="7" t="inlineStr">
        <is>
          <t>Participant-held-out internal (14 CGMacros people, each held out once; previously inspected)</t>
        </is>
      </c>
      <c r="E97" s="7" t="inlineStr">
        <is>
          <t>supported</t>
        </is>
      </c>
      <c r="F97" s="7" t="inlineStr">
        <is>
          <t>tu.C1.mae60</t>
        </is>
      </c>
      <c r="G97" s="8">
        <f>IF(AND(ISNUMBER(Sources!$C$352)),Sources!$C$352,"unavailable")</f>
        <v/>
      </c>
      <c r="H97" s="7" t="n">
        <v>21.9</v>
      </c>
      <c r="I97" s="7" t="n">
        <v>2</v>
      </c>
      <c r="J97" s="7">
        <f>IF(ISNUMBER(G97),IF(ABS(G97-H97)&lt;=0.5*10^(-I97)+1E-9,"matches","MISMATCH"),"pending")</f>
        <v/>
      </c>
      <c r="K97" s="7" t="inlineStr"/>
      <c r="L97" s="7" t="inlineStr"/>
      <c r="M97" s="7" t="inlineStr"/>
    </row>
    <row r="98">
      <c r="A98" s="7" t="inlineStr">
        <is>
          <t>C-51-03</t>
        </is>
      </c>
      <c r="B98" s="7" t="inlineStr">
        <is>
          <t>D-051 C1 − C0 −0.37 mg/dL (small internal gain vs equally tuned C0)</t>
        </is>
      </c>
      <c r="C98" s="7" t="inlineStr">
        <is>
          <t>README §7</t>
        </is>
      </c>
      <c r="D98" s="7" t="inlineStr">
        <is>
          <t>Participant-held-out internal (14 CGMacros people, each held out once; previously inspected)</t>
        </is>
      </c>
      <c r="E98" s="7" t="inlineStr">
        <is>
          <t>negative-result</t>
        </is>
      </c>
      <c r="F98" s="7" t="inlineStr">
        <is>
          <t>tu.c1c0.mean_diff</t>
        </is>
      </c>
      <c r="G98" s="8">
        <f>IF(AND(ISNUMBER(Sources!$C$355)),Sources!$C$355,"unavailable")</f>
        <v/>
      </c>
      <c r="H98" s="7" t="n">
        <v>-0.37</v>
      </c>
      <c r="I98" s="7" t="n">
        <v>2</v>
      </c>
      <c r="J98" s="7">
        <f>IF(ISNUMBER(G98),IF(ABS(G98-H98)&lt;=0.5*10^(-I98)+1E-9,"matches","MISMATCH"),"pending")</f>
        <v/>
      </c>
      <c r="K98" s="7" t="inlineStr">
        <is>
          <t>Does not reach the declared −0.5 bar; not a release</t>
        </is>
      </c>
      <c r="L98" s="7" t="inlineStr"/>
      <c r="M98" s="7" t="inlineStr">
        <is>
          <t>tune-d051 | C1 − C0 (internal)</t>
        </is>
      </c>
    </row>
    <row r="99">
      <c r="A99" s="7" t="inlineStr">
        <is>
          <t>C-51-04</t>
        </is>
      </c>
      <c r="B99" s="7" t="inlineStr">
        <is>
          <t>D-051 C1 − C0 CI [−0.63, −0.06] (lower)</t>
        </is>
      </c>
      <c r="C99" s="7" t="inlineStr">
        <is>
          <t>README §7</t>
        </is>
      </c>
      <c r="D99" s="7" t="inlineStr">
        <is>
          <t>Participant-held-out internal (14 CGMacros people, each held out once; previously inspected)</t>
        </is>
      </c>
      <c r="E99" s="7" t="inlineStr">
        <is>
          <t>supported</t>
        </is>
      </c>
      <c r="F99" s="7" t="inlineStr">
        <is>
          <t>tu.c1c0.lo</t>
        </is>
      </c>
      <c r="G99" s="8">
        <f>IF(AND(ISNUMBER(Sources!$C$356)),Sources!$C$356,"unavailable")</f>
        <v/>
      </c>
      <c r="H99" s="7" t="n">
        <v>-0.63</v>
      </c>
      <c r="I99" s="7" t="n">
        <v>2</v>
      </c>
      <c r="J99" s="7">
        <f>IF(ISNUMBER(G99),IF(ABS(G99-H99)&lt;=0.5*10^(-I99)+1E-9,"matches","MISMATCH"),"pending")</f>
        <v/>
      </c>
      <c r="K99" s="7" t="inlineStr"/>
      <c r="L99" s="7" t="inlineStr"/>
      <c r="M99" s="7" t="inlineStr"/>
    </row>
    <row r="100">
      <c r="A100" s="7" t="inlineStr">
        <is>
          <t>C-51-05</t>
        </is>
      </c>
      <c r="B100" s="7" t="inlineStr">
        <is>
          <t>D-051 C1 − C0 CI [−0.63, −0.06] (upper)</t>
        </is>
      </c>
      <c r="C100" s="7" t="inlineStr">
        <is>
          <t>README §7</t>
        </is>
      </c>
      <c r="D100" s="7" t="inlineStr">
        <is>
          <t>Participant-held-out internal (14 CGMacros people, each held out once; previously inspected)</t>
        </is>
      </c>
      <c r="E100" s="7" t="inlineStr">
        <is>
          <t>supported</t>
        </is>
      </c>
      <c r="F100" s="7" t="inlineStr">
        <is>
          <t>tu.c1c0.hi</t>
        </is>
      </c>
      <c r="G100" s="8">
        <f>IF(AND(ISNUMBER(Sources!$C$357)),Sources!$C$357,"unavailable")</f>
        <v/>
      </c>
      <c r="H100" s="7" t="n">
        <v>-0.06</v>
      </c>
      <c r="I100" s="7" t="n">
        <v>2</v>
      </c>
      <c r="J100" s="7">
        <f>IF(ISNUMBER(G100),IF(ABS(G100-H100)&lt;=0.5*10^(-I100)+1E-9,"matches","MISMATCH"),"pending")</f>
        <v/>
      </c>
      <c r="K100" s="7" t="inlineStr"/>
      <c r="L100" s="7" t="inlineStr"/>
      <c r="M100" s="7" t="inlineStr"/>
    </row>
    <row r="101">
      <c r="A101" s="7" t="inlineStr">
        <is>
          <t>C-51-06</t>
        </is>
      </c>
      <c r="B101" s="7" t="inlineStr">
        <is>
          <t>D-051 10 of 14 people better</t>
        </is>
      </c>
      <c r="C101" s="7" t="inlineStr">
        <is>
          <t>README §7</t>
        </is>
      </c>
      <c r="D101" s="7" t="inlineStr">
        <is>
          <t>Participant-held-out internal (14 CGMacros people, each held out once; previously inspected)</t>
        </is>
      </c>
      <c r="E101" s="7" t="inlineStr">
        <is>
          <t>supported</t>
        </is>
      </c>
      <c r="F101" s="7" t="inlineStr">
        <is>
          <t>tu.c1c0.improved</t>
        </is>
      </c>
      <c r="G101" s="8">
        <f>IF(AND(ISNUMBER(Sources!$C$358)),Sources!$C$358,"unavailable")</f>
        <v/>
      </c>
      <c r="H101" s="7" t="n">
        <v>10</v>
      </c>
      <c r="I101" s="7" t="n">
        <v>0</v>
      </c>
      <c r="J101" s="7">
        <f>IF(ISNUMBER(G101),IF(ABS(G101-H101)&lt;=0.5*10^(-I101)+1E-9,"matches","MISMATCH"),"pending")</f>
        <v/>
      </c>
      <c r="K101" s="7" t="inlineStr"/>
      <c r="L101" s="7" t="inlineStr"/>
      <c r="M101" s="7" t="inlineStr">
        <is>
          <t>tune-d051 | people better</t>
        </is>
      </c>
    </row>
    <row r="102">
      <c r="A102" s="7" t="inlineStr">
        <is>
          <t>C-51-07</t>
        </is>
      </c>
      <c r="B102" s="7" t="inlineStr">
        <is>
          <t>D-051 C1 − refitted serving recipe −0.65 [−1.41, +0.07] (not established)</t>
        </is>
      </c>
      <c r="C102" s="7" t="inlineStr">
        <is>
          <t>README §7</t>
        </is>
      </c>
      <c r="D102" s="7" t="inlineStr">
        <is>
          <t>Participant-held-out internal (14 CGMacros people, each held out once; previously inspected)</t>
        </is>
      </c>
      <c r="E102" s="7" t="inlineStr">
        <is>
          <t>negative-result</t>
        </is>
      </c>
      <c r="F102" s="7" t="inlineStr">
        <is>
          <t>tu.c1r0.mean_diff</t>
        </is>
      </c>
      <c r="G102" s="8">
        <f>IF(AND(ISNUMBER(Sources!$C$359)),Sources!$C$359,"unavailable")</f>
        <v/>
      </c>
      <c r="H102" s="7" t="n">
        <v>-0.65</v>
      </c>
      <c r="I102" s="7" t="n">
        <v>2</v>
      </c>
      <c r="J102" s="7">
        <f>IF(ISNUMBER(G102),IF(ABS(G102-H102)&lt;=0.5*10^(-I102)+1E-9,"matches","MISMATCH"),"pending")</f>
        <v/>
      </c>
      <c r="K102" s="7" t="inlineStr">
        <is>
          <t>Different comparator from C0; CI crosses zero</t>
        </is>
      </c>
      <c r="L102" s="7" t="inlineStr"/>
      <c r="M102" s="7" t="inlineStr">
        <is>
          <t>tune-d051 | C1 − refitted serving recipe (not established)</t>
        </is>
      </c>
    </row>
    <row r="103">
      <c r="A103" s="7" t="inlineStr">
        <is>
          <t>C-51-08</t>
        </is>
      </c>
      <c r="B103" s="7" t="inlineStr">
        <is>
          <t>D-051 not adopted</t>
        </is>
      </c>
      <c r="C103" s="7" t="inlineStr">
        <is>
          <t>README §7; docs/decisions.md D-051</t>
        </is>
      </c>
      <c r="D103" s="7" t="inlineStr">
        <is>
          <t>Gate</t>
        </is>
      </c>
      <c r="E103" s="7" t="inlineStr">
        <is>
          <t>negative-result</t>
        </is>
      </c>
      <c r="F103" s="7" t="inlineStr">
        <is>
          <t>Gates: D-051; tu.adopt.c1_better</t>
        </is>
      </c>
      <c r="G103" s="7">
        <f>Gates!$G$38</f>
        <v/>
      </c>
      <c r="H103" s="7" t="inlineStr">
        <is>
          <t>FAILED</t>
        </is>
      </c>
      <c r="I103" s="7" t="n"/>
      <c r="J103" s="7">
        <f>IF(G103=H103,"matches","MISMATCH")</f>
        <v/>
      </c>
      <c r="K103" s="7" t="inlineStr"/>
      <c r="L103" s="7" t="inlineStr"/>
      <c r="M103" s="7" t="inlineStr">
        <is>
          <t>tune-d051 | adoption</t>
        </is>
      </c>
    </row>
    <row r="104">
      <c r="A104" s="7" t="inlineStr">
        <is>
          <t>C-52-01</t>
        </is>
      </c>
      <c r="B104" s="7" t="inlineStr">
        <is>
          <t>D-052 S 60-min personalised MAE 21.62</t>
        </is>
      </c>
      <c r="C104" s="7" t="inlineStr">
        <is>
          <t>reports/joint_study.md; docs/decisions.md D-052</t>
        </is>
      </c>
      <c r="D104" s="7" t="inlineStr">
        <is>
          <t>Participant-held-out internal (14 CGMacros people, each held out once; previously inspected)</t>
        </is>
      </c>
      <c r="E104" s="7" t="inlineStr">
        <is>
          <t>supported</t>
        </is>
      </c>
      <c r="F104" s="7" t="inlineStr">
        <is>
          <t>jt.S.mae60</t>
        </is>
      </c>
      <c r="G104" s="8">
        <f>IF(AND(ISNUMBER(Sources!$C$368)),Sources!$C$368,"unavailable")</f>
        <v/>
      </c>
      <c r="H104" s="7" t="n">
        <v>21.62</v>
      </c>
      <c r="I104" s="7" t="n">
        <v>2</v>
      </c>
      <c r="J104" s="7">
        <f>IF(ISNUMBER(G104),IF(ABS(G104-H104)&lt;=0.5*10^(-I104)+1E-9,"matches","MISMATCH"),"pending")</f>
        <v/>
      </c>
      <c r="K104" s="7" t="inlineStr"/>
      <c r="L104" s="7" t="inlineStr"/>
      <c r="M104" s="7" t="inlineStr">
        <is>
          <t>joint-d052-forecast | S 60-min personalised MAE</t>
        </is>
      </c>
    </row>
    <row r="105">
      <c r="A105" s="7" t="inlineStr">
        <is>
          <t>C-52-02</t>
        </is>
      </c>
      <c r="B105" s="7" t="inlineStr">
        <is>
          <t>D-052 R0 60-min personalised MAE 22.50 (refitted serving recipe)</t>
        </is>
      </c>
      <c r="C105" s="7" t="inlineStr">
        <is>
          <t>reports/joint_study.md</t>
        </is>
      </c>
      <c r="D105" s="7" t="inlineStr">
        <is>
          <t>Participant-held-out internal (14 CGMacros people, each held out once; previously inspected)</t>
        </is>
      </c>
      <c r="E105" s="7" t="inlineStr">
        <is>
          <t>supported</t>
        </is>
      </c>
      <c r="F105" s="7" t="inlineStr">
        <is>
          <t>jt.R0.mae60</t>
        </is>
      </c>
      <c r="G105" s="8">
        <f>IF(AND(ISNUMBER(Sources!$C$371)),Sources!$C$371,"unavailable")</f>
        <v/>
      </c>
      <c r="H105" s="7" t="n">
        <v>22.5</v>
      </c>
      <c r="I105" s="7" t="n">
        <v>2</v>
      </c>
      <c r="J105" s="7">
        <f>IF(ISNUMBER(G105),IF(ABS(G105-H105)&lt;=0.5*10^(-I105)+1E-9,"matches","MISMATCH"),"pending")</f>
        <v/>
      </c>
      <c r="K105" s="7" t="inlineStr"/>
      <c r="L105" s="7" t="inlineStr"/>
      <c r="M105" s="7" t="inlineStr">
        <is>
          <t>joint-d052-forecast | R0 60-min personalised MAE (refitted serving recipe)</t>
        </is>
      </c>
    </row>
    <row r="106">
      <c r="A106" s="7" t="inlineStr">
        <is>
          <t>C-52-03</t>
        </is>
      </c>
      <c r="B106" s="7" t="inlineStr">
        <is>
          <t>D-052 S − R0 −0.88 [−1.75, −0.13] at 60 min</t>
        </is>
      </c>
      <c r="C106" s="7" t="inlineStr">
        <is>
          <t>reports/joint_study.md</t>
        </is>
      </c>
      <c r="D106" s="7" t="inlineStr">
        <is>
          <t>Participant-held-out internal (14 CGMacros people, each held out once; previously inspected)</t>
        </is>
      </c>
      <c r="E106" s="7" t="inlineStr">
        <is>
          <t>supported</t>
        </is>
      </c>
      <c r="F106" s="7" t="inlineStr">
        <is>
          <t>jt.gate.mean_diff_60</t>
        </is>
      </c>
      <c r="G106" s="8">
        <f>IF(AND(ISNUMBER(Sources!$C$374)),Sources!$C$374,"unavailable")</f>
        <v/>
      </c>
      <c r="H106" s="7" t="n">
        <v>-0.88</v>
      </c>
      <c r="I106" s="7" t="n">
        <v>2</v>
      </c>
      <c r="J106" s="7">
        <f>IF(ISNUMBER(G106),IF(ABS(G106-H106)&lt;=0.5*10^(-I106)+1E-9,"matches","MISMATCH"),"pending")</f>
        <v/>
      </c>
      <c r="K106" s="7" t="inlineStr"/>
      <c r="L106" s="7" t="inlineStr"/>
      <c r="M106" s="7" t="inlineStr">
        <is>
          <t>joint-d052-forecast | S − R0 at 60 min (participant bootstrap)</t>
        </is>
      </c>
    </row>
    <row r="107">
      <c r="A107" s="7" t="inlineStr">
        <is>
          <t>C-52-04</t>
        </is>
      </c>
      <c r="B107" s="7" t="inlineStr">
        <is>
          <t>D-052 primary gate not met (high-target +1.70 vs +1.0)</t>
        </is>
      </c>
      <c r="C107" s="7" t="inlineStr">
        <is>
          <t>docs/decisions.md D-052</t>
        </is>
      </c>
      <c r="D107" s="7" t="inlineStr">
        <is>
          <t>Gate</t>
        </is>
      </c>
      <c r="E107" s="7" t="inlineStr">
        <is>
          <t>negative-result</t>
        </is>
      </c>
      <c r="F107" s="7" t="inlineStr">
        <is>
          <t>jt.gate.high_worsening_60</t>
        </is>
      </c>
      <c r="G107" s="8">
        <f>IF(AND(ISNUMBER(Sources!$C$378)),Sources!$C$378,"unavailable")</f>
        <v/>
      </c>
      <c r="H107" s="7" t="n">
        <v>1.7</v>
      </c>
      <c r="I107" s="7" t="n">
        <v>2</v>
      </c>
      <c r="J107" s="7">
        <f>IF(ISNUMBER(G107),IF(ABS(G107-H107)&lt;=0.5*10^(-I107)+1E-9,"matches","MISMATCH"),"pending")</f>
        <v/>
      </c>
      <c r="K107" s="7" t="inlineStr"/>
      <c r="L107" s="7" t="inlineStr"/>
      <c r="M107" s="7" t="inlineStr">
        <is>
          <t>joint-d052-forecast | primary gate</t>
        </is>
      </c>
    </row>
    <row r="108">
      <c r="A108" s="7" t="inlineStr">
        <is>
          <t>C-52-05</t>
        </is>
      </c>
      <c r="B108" s="7" t="inlineStr">
        <is>
          <t>D-052 release guardrails not met</t>
        </is>
      </c>
      <c r="C108" s="7" t="inlineStr">
        <is>
          <t>docs/decisions.md D-052</t>
        </is>
      </c>
      <c r="D108" s="7" t="inlineStr">
        <is>
          <t>Gate</t>
        </is>
      </c>
      <c r="E108" s="7" t="inlineStr">
        <is>
          <t>negative-result</t>
        </is>
      </c>
      <c r="F108" s="7" t="inlineStr">
        <is>
          <t>Gates: D-052</t>
        </is>
      </c>
      <c r="G108" s="7">
        <f>Gates!$G$39</f>
        <v/>
      </c>
      <c r="H108" s="7" t="inlineStr">
        <is>
          <t>FAILED</t>
        </is>
      </c>
      <c r="I108" s="7" t="n"/>
      <c r="J108" s="7">
        <f>IF(G108=H108,"matches","MISMATCH")</f>
        <v/>
      </c>
      <c r="K108" s="7" t="inlineStr"/>
      <c r="L108" s="7" t="inlineStr"/>
      <c r="M108" s="7" t="inlineStr">
        <is>
          <t>joint-d052-operational | release guardrails vs R0</t>
        </is>
      </c>
    </row>
    <row r="109">
      <c r="A109" s="7" t="inlineStr">
        <is>
          <t>C-52-06</t>
        </is>
      </c>
      <c r="B109" s="7" t="inlineStr">
        <is>
          <t>D-052 candidate 80 % range coverage 78.4 % at 60 min</t>
        </is>
      </c>
      <c r="C109" s="7" t="inlineStr">
        <is>
          <t>docs/decisions.md D-052</t>
        </is>
      </c>
      <c r="D109" s="7" t="inlineStr">
        <is>
          <t>Participant-held-out internal (14 CGMacros people, each held out once; previously inspected)</t>
        </is>
      </c>
      <c r="E109" s="7" t="inlineStr">
        <is>
          <t>supported</t>
        </is>
      </c>
      <c r="F109" s="7" t="inlineStr">
        <is>
          <t>jt.cov60</t>
        </is>
      </c>
      <c r="G109" s="8">
        <f>IF(AND(ISNUMBER(Sources!$C$386)),Sources!$C$386*100,"unavailable")</f>
        <v/>
      </c>
      <c r="H109" s="7" t="n">
        <v>78.40000000000001</v>
      </c>
      <c r="I109" s="7" t="n">
        <v>1</v>
      </c>
      <c r="J109" s="7">
        <f>IF(ISNUMBER(G109),IF(ABS(G109-H109)&lt;=0.5*10^(-I109)+1E-9,"matches","MISMATCH"),"pending")</f>
        <v/>
      </c>
      <c r="K109" s="7" t="inlineStr">
        <is>
          <t>Mixed-fit calibration erratum disclosed in reports/joint_study.md</t>
        </is>
      </c>
      <c r="L109" s="7" t="inlineStr"/>
      <c r="M109" s="7" t="inlineStr">
        <is>
          <t>joint-d052-operational | candidate 80 % range coverage, 60 min</t>
        </is>
      </c>
    </row>
    <row r="110">
      <c r="A110" s="7" t="inlineStr">
        <is>
          <t>C-53-01</t>
        </is>
      </c>
      <c r="B110" s="7" t="inlineStr">
        <is>
          <t>D-053 S 60-min personalised MAE 22.00</t>
        </is>
      </c>
      <c r="C110" s="7" t="inlineStr">
        <is>
          <t>README.md (Results at a glance); README §7; Deck s11</t>
        </is>
      </c>
      <c r="D110" s="7" t="inlineStr">
        <is>
          <t>Participant-held-out internal (14 CGMacros people, each held out once; previously inspected)</t>
        </is>
      </c>
      <c r="E110" s="7" t="inlineStr">
        <is>
          <t>supported</t>
        </is>
      </c>
      <c r="F110" s="7" t="inlineStr">
        <is>
          <t>cs.S.mae60</t>
        </is>
      </c>
      <c r="G110" s="8">
        <f>IF(AND(ISNUMBER(Sources!$C$390)),Sources!$C$390,"unavailable")</f>
        <v/>
      </c>
      <c r="H110" s="7" t="n">
        <v>22</v>
      </c>
      <c r="I110" s="7" t="n">
        <v>2</v>
      </c>
      <c r="J110" s="7">
        <f>IF(ISNUMBER(G110),IF(ABS(G110-H110)&lt;=0.5*10^(-I110)+1E-9,"matches","MISMATCH"),"pending")</f>
        <v/>
      </c>
      <c r="K110" s="7" t="inlineStr"/>
      <c r="L110" s="7" t="inlineStr"/>
      <c r="M110" s="7" t="inlineStr">
        <is>
          <t>constrained-d053 | S 60-min personalised MAE</t>
        </is>
      </c>
    </row>
    <row r="111">
      <c r="A111" s="7" t="inlineStr">
        <is>
          <t>C-53-02</t>
        </is>
      </c>
      <c r="B111" s="7" t="inlineStr">
        <is>
          <t>D-053 S 30-min MAE 13.89</t>
        </is>
      </c>
      <c r="C111" s="7" t="inlineStr">
        <is>
          <t>README.md (Results at a glance); Deck s11</t>
        </is>
      </c>
      <c r="D111" s="7" t="inlineStr">
        <is>
          <t>Participant-held-out internal (14 CGMacros people, each held out once; previously inspected)</t>
        </is>
      </c>
      <c r="E111" s="7" t="inlineStr">
        <is>
          <t>supported</t>
        </is>
      </c>
      <c r="F111" s="7" t="inlineStr">
        <is>
          <t>cs.S.mae30</t>
        </is>
      </c>
      <c r="G111" s="8">
        <f>IF(AND(ISNUMBER(Sources!$C$389)),Sources!$C$389,"unavailable")</f>
        <v/>
      </c>
      <c r="H111" s="7" t="n">
        <v>13.89</v>
      </c>
      <c r="I111" s="7" t="n">
        <v>2</v>
      </c>
      <c r="J111" s="7">
        <f>IF(ISNUMBER(G111),IF(ABS(G111-H111)&lt;=0.5*10^(-I111)+1E-9,"matches","MISMATCH"),"pending")</f>
        <v/>
      </c>
      <c r="K111" s="7" t="inlineStr"/>
      <c r="L111" s="7" t="inlineStr"/>
      <c r="M111" s="7" t="inlineStr"/>
    </row>
    <row r="112">
      <c r="A112" s="7" t="inlineStr">
        <is>
          <t>C-53-03</t>
        </is>
      </c>
      <c r="B112" s="7" t="inlineStr">
        <is>
          <t>D-053 persistence 15.34 / 24.47 (30 min)</t>
        </is>
      </c>
      <c r="C112" s="7" t="inlineStr">
        <is>
          <t>README.md (Results at a glance); Deck s11</t>
        </is>
      </c>
      <c r="D112" s="7" t="inlineStr">
        <is>
          <t>Participant-held-out internal (14 CGMacros people, each held out once; previously inspected)</t>
        </is>
      </c>
      <c r="E112" s="7" t="inlineStr">
        <is>
          <t>supported</t>
        </is>
      </c>
      <c r="F112" s="7" t="inlineStr">
        <is>
          <t>cs.persistence.mae30</t>
        </is>
      </c>
      <c r="G112" s="8">
        <f>IF(AND(ISNUMBER(Sources!$C$393)),Sources!$C$393,"unavailable")</f>
        <v/>
      </c>
      <c r="H112" s="7" t="n">
        <v>15.34</v>
      </c>
      <c r="I112" s="7" t="n">
        <v>2</v>
      </c>
      <c r="J112" s="7">
        <f>IF(ISNUMBER(G112),IF(ABS(G112-H112)&lt;=0.5*10^(-I112)+1E-9,"matches","MISMATCH"),"pending")</f>
        <v/>
      </c>
      <c r="K112" s="7" t="inlineStr"/>
      <c r="L112" s="7" t="inlineStr"/>
      <c r="M112" s="7" t="inlineStr"/>
    </row>
    <row r="113">
      <c r="A113" s="7" t="inlineStr">
        <is>
          <t>C-53-04</t>
        </is>
      </c>
      <c r="B113" s="7" t="inlineStr">
        <is>
          <t>D-053 persistence 15.34 / 24.47 (60 min)</t>
        </is>
      </c>
      <c r="C113" s="7" t="inlineStr">
        <is>
          <t>README.md (Results at a glance); Deck s11</t>
        </is>
      </c>
      <c r="D113" s="7" t="inlineStr">
        <is>
          <t>Participant-held-out internal (14 CGMacros people, each held out once; previously inspected)</t>
        </is>
      </c>
      <c r="E113" s="7" t="inlineStr">
        <is>
          <t>supported</t>
        </is>
      </c>
      <c r="F113" s="7" t="inlineStr">
        <is>
          <t>cs.persistence.mae60</t>
        </is>
      </c>
      <c r="G113" s="8">
        <f>IF(AND(ISNUMBER(Sources!$C$394)),Sources!$C$394,"unavailable")</f>
        <v/>
      </c>
      <c r="H113" s="7" t="n">
        <v>24.47</v>
      </c>
      <c r="I113" s="7" t="n">
        <v>2</v>
      </c>
      <c r="J113" s="7">
        <f>IF(ISNUMBER(G113),IF(ABS(G113-H113)&lt;=0.5*10^(-I113)+1E-9,"matches","MISMATCH"),"pending")</f>
        <v/>
      </c>
      <c r="K113" s="7" t="inlineStr"/>
      <c r="L113" s="7" t="inlineStr"/>
      <c r="M113" s="7" t="inlineStr"/>
    </row>
    <row r="114">
      <c r="A114" s="7" t="inlineStr">
        <is>
          <t>C-53-05</t>
        </is>
      </c>
      <c r="B114" s="7" t="inlineStr">
        <is>
          <t>D-053 R0 refitted in the same folds 23.20</t>
        </is>
      </c>
      <c r="C114" s="7" t="inlineStr">
        <is>
          <t>README.md (Results at a glance); narration metric card</t>
        </is>
      </c>
      <c r="D114" s="7" t="inlineStr">
        <is>
          <t>Participant-held-out internal (14 CGMacros people, each held out once; previously inspected)</t>
        </is>
      </c>
      <c r="E114" s="7" t="inlineStr">
        <is>
          <t>supported</t>
        </is>
      </c>
      <c r="F114" s="7" t="inlineStr">
        <is>
          <t>cs.R0.mae60</t>
        </is>
      </c>
      <c r="G114" s="8">
        <f>IF(AND(ISNUMBER(Sources!$C$392)),Sources!$C$392,"unavailable")</f>
        <v/>
      </c>
      <c r="H114" s="7" t="n">
        <v>23.2</v>
      </c>
      <c r="I114" s="7" t="n">
        <v>2</v>
      </c>
      <c r="J114" s="7">
        <f>IF(ISNUMBER(G114),IF(ABS(G114-H114)&lt;=0.5*10^(-I114)+1E-9,"matches","MISMATCH"),"pending")</f>
        <v/>
      </c>
      <c r="K114" s="7" t="inlineStr"/>
      <c r="L114" s="7" t="inlineStr"/>
      <c r="M114" s="7" t="inlineStr">
        <is>
          <t>constrained-d053 | R0 60-min personalised MAE (refitted in the same folds)</t>
        </is>
      </c>
    </row>
    <row r="115">
      <c r="A115" s="7" t="inlineStr">
        <is>
          <t>C-53-06</t>
        </is>
      </c>
      <c r="B115" s="7" t="inlineStr">
        <is>
          <t>D-053 S − R0 −1.19 at 60 min</t>
        </is>
      </c>
      <c r="C115" s="7" t="inlineStr">
        <is>
          <t>README.md (Results at a glance); narration scene 11</t>
        </is>
      </c>
      <c r="D115" s="7" t="inlineStr">
        <is>
          <t>Participant-held-out internal (14 CGMacros people, each held out once; previously inspected)</t>
        </is>
      </c>
      <c r="E115" s="7" t="inlineStr">
        <is>
          <t>supported</t>
        </is>
      </c>
      <c r="F115" s="7" t="inlineStr">
        <is>
          <t>cs.p60.mean_diff</t>
        </is>
      </c>
      <c r="G115" s="8">
        <f>IF(AND(ISNUMBER(Sources!$C$397)),Sources!$C$397,"unavailable")</f>
        <v/>
      </c>
      <c r="H115" s="7" t="n">
        <v>-1.19</v>
      </c>
      <c r="I115" s="7" t="n">
        <v>2</v>
      </c>
      <c r="J115" s="7">
        <f>IF(ISNUMBER(G115),IF(ABS(G115-H115)&lt;=0.5*10^(-I115)+1E-9,"matches","MISMATCH"),"pending")</f>
        <v/>
      </c>
      <c r="K115" s="7" t="inlineStr"/>
      <c r="L115" s="7" t="inlineStr"/>
      <c r="M115" s="7" t="inlineStr">
        <is>
          <t>constrained-d053 | S − R0 at 60 min (participant bootstrap)</t>
        </is>
      </c>
    </row>
    <row r="116">
      <c r="A116" s="7" t="inlineStr">
        <is>
          <t>C-53-07</t>
        </is>
      </c>
      <c r="B116" s="7" t="inlineStr">
        <is>
          <t>D-053 S − R0 CI lower −2.09</t>
        </is>
      </c>
      <c r="C116" s="7" t="inlineStr">
        <is>
          <t>README.md (Results at a glance)</t>
        </is>
      </c>
      <c r="D116" s="7" t="inlineStr">
        <is>
          <t>Participant-held-out internal (14 CGMacros people, each held out once; previously inspected)</t>
        </is>
      </c>
      <c r="E116" s="7" t="inlineStr">
        <is>
          <t>supported</t>
        </is>
      </c>
      <c r="F116" s="7" t="inlineStr">
        <is>
          <t>cs.p60.lo</t>
        </is>
      </c>
      <c r="G116" s="8">
        <f>IF(AND(ISNUMBER(Sources!$C$398)),Sources!$C$398,"unavailable")</f>
        <v/>
      </c>
      <c r="H116" s="7" t="n">
        <v>-2.09</v>
      </c>
      <c r="I116" s="7" t="n">
        <v>2</v>
      </c>
      <c r="J116" s="7">
        <f>IF(ISNUMBER(G116),IF(ABS(G116-H116)&lt;=0.5*10^(-I116)+1E-9,"matches","MISMATCH"),"pending")</f>
        <v/>
      </c>
      <c r="K116" s="7" t="inlineStr"/>
      <c r="L116" s="7" t="inlineStr"/>
      <c r="M116" s="7" t="inlineStr"/>
    </row>
    <row r="117">
      <c r="A117" s="7" t="inlineStr">
        <is>
          <t>C-53-08</t>
        </is>
      </c>
      <c r="B117" s="7" t="inlineStr">
        <is>
          <t>D-053 S − R0 CI upper −0.39</t>
        </is>
      </c>
      <c r="C117" s="7" t="inlineStr">
        <is>
          <t>README.md (Results at a glance)</t>
        </is>
      </c>
      <c r="D117" s="7" t="inlineStr">
        <is>
          <t>Participant-held-out internal (14 CGMacros people, each held out once; previously inspected)</t>
        </is>
      </c>
      <c r="E117" s="7" t="inlineStr">
        <is>
          <t>supported</t>
        </is>
      </c>
      <c r="F117" s="7" t="inlineStr">
        <is>
          <t>cs.p60.hi</t>
        </is>
      </c>
      <c r="G117" s="8">
        <f>IF(AND(ISNUMBER(Sources!$C$399)),Sources!$C$399,"unavailable")</f>
        <v/>
      </c>
      <c r="H117" s="7" t="n">
        <v>-0.39</v>
      </c>
      <c r="I117" s="7" t="n">
        <v>2</v>
      </c>
      <c r="J117" s="7">
        <f>IF(ISNUMBER(G117),IF(ABS(G117-H117)&lt;=0.5*10^(-I117)+1E-9,"matches","MISMATCH"),"pending")</f>
        <v/>
      </c>
      <c r="K117" s="7" t="inlineStr"/>
      <c r="L117" s="7" t="inlineStr"/>
      <c r="M117" s="7" t="inlineStr"/>
    </row>
    <row r="118">
      <c r="A118" s="7" t="inlineStr">
        <is>
          <t>C-53-09</t>
        </is>
      </c>
      <c r="B118" s="7" t="inlineStr">
        <is>
          <t>D-053 lower for 11 of 14 people at 60 min</t>
        </is>
      </c>
      <c r="C118" s="7" t="inlineStr">
        <is>
          <t>README §7; narration scene 11</t>
        </is>
      </c>
      <c r="D118" s="7" t="inlineStr">
        <is>
          <t>Participant-held-out internal (14 CGMacros people, each held out once; previously inspected)</t>
        </is>
      </c>
      <c r="E118" s="7" t="inlineStr">
        <is>
          <t>supported</t>
        </is>
      </c>
      <c r="F118" s="7" t="inlineStr">
        <is>
          <t>cs.p60.improved</t>
        </is>
      </c>
      <c r="G118" s="8">
        <f>IF(AND(ISNUMBER(Sources!$C$400)),Sources!$C$400,"unavailable")</f>
        <v/>
      </c>
      <c r="H118" s="7" t="n">
        <v>11</v>
      </c>
      <c r="I118" s="7" t="n">
        <v>0</v>
      </c>
      <c r="J118" s="7">
        <f>IF(ISNUMBER(G118),IF(ABS(G118-H118)&lt;=0.5*10^(-I118)+1E-9,"matches","MISMATCH"),"pending")</f>
        <v/>
      </c>
      <c r="K118" s="7" t="inlineStr"/>
      <c r="L118" s="7" t="inlineStr"/>
      <c r="M118" s="7" t="inlineStr">
        <is>
          <t>constrained-d053 | people better at 60 min</t>
        </is>
      </c>
    </row>
    <row r="119">
      <c r="A119" s="7" t="inlineStr">
        <is>
          <t>C-53-10</t>
        </is>
      </c>
      <c r="B119" s="7" t="inlineStr">
        <is>
          <t>D-053 30-min change −0.50</t>
        </is>
      </c>
      <c r="C119" s="7" t="inlineStr">
        <is>
          <t>README §7</t>
        </is>
      </c>
      <c r="D119" s="7" t="inlineStr">
        <is>
          <t>Participant-held-out internal (14 CGMacros people, each held out once; previously inspected)</t>
        </is>
      </c>
      <c r="E119" s="7" t="inlineStr">
        <is>
          <t>supported</t>
        </is>
      </c>
      <c r="F119" s="7" t="inlineStr">
        <is>
          <t>cs.pg.worsening_30</t>
        </is>
      </c>
      <c r="G119" s="8">
        <f>IF(AND(ISNUMBER(Sources!$C$405)),Sources!$C$405,"unavailable")</f>
        <v/>
      </c>
      <c r="H119" s="7" t="n">
        <v>-0.5</v>
      </c>
      <c r="I119" s="7" t="n">
        <v>2</v>
      </c>
      <c r="J119" s="7">
        <f>IF(ISNUMBER(G119),IF(ABS(G119-H119)&lt;=0.5*10^(-I119)+1E-9,"matches","MISMATCH"),"pending")</f>
        <v/>
      </c>
      <c r="K119" s="7" t="inlineStr"/>
      <c r="L119" s="7" t="inlineStr"/>
      <c r="M119" s="7" t="inlineStr">
        <is>
          <t>constrained-d053 | 30-min change</t>
        </is>
      </c>
    </row>
    <row r="120">
      <c r="A120" s="7" t="inlineStr">
        <is>
          <t>C-53-11</t>
        </is>
      </c>
      <c r="B120" s="7" t="inlineStr">
        <is>
          <t>D-053 error above 180 rose 1.07 against a +1.0 limit</t>
        </is>
      </c>
      <c r="C120" s="7" t="inlineStr">
        <is>
          <t>README.md (Results at a glance); narration scene 11, 16</t>
        </is>
      </c>
      <c r="D120" s="7" t="inlineStr">
        <is>
          <t>Participant-held-out internal (14 CGMacros people, each held out once; previously inspected)</t>
        </is>
      </c>
      <c r="E120" s="7" t="inlineStr">
        <is>
          <t>negative-result</t>
        </is>
      </c>
      <c r="F120" s="7" t="inlineStr">
        <is>
          <t>cs.pg.high_worsening_60</t>
        </is>
      </c>
      <c r="G120" s="8">
        <f>IF(AND(ISNUMBER(Sources!$C$407)),Sources!$C$407,"unavailable")</f>
        <v/>
      </c>
      <c r="H120" s="7" t="n">
        <v>1.07</v>
      </c>
      <c r="I120" s="7" t="n">
        <v>2</v>
      </c>
      <c r="J120" s="7">
        <f>IF(ISNUMBER(G120),IF(ABS(G120-H120)&lt;=0.5*10^(-I120)+1E-9,"matches","MISMATCH"),"pending")</f>
        <v/>
      </c>
      <c r="K120" s="7" t="inlineStr">
        <is>
          <t>Unrounded +1.0658 &gt; +1.0: gate fails at any display rounding</t>
        </is>
      </c>
      <c r="L120" s="7" t="inlineStr"/>
      <c r="M120" s="7" t="inlineStr">
        <is>
          <t>constrained-d053 | high-target change at 60 min</t>
        </is>
      </c>
    </row>
    <row r="121">
      <c r="A121" s="7" t="inlineStr">
        <is>
          <t>C-53-12</t>
        </is>
      </c>
      <c r="B121" s="7" t="inlineStr">
        <is>
          <t>D-053 primary gate not met; not adopted</t>
        </is>
      </c>
      <c r="C121" s="7" t="inlineStr">
        <is>
          <t>README.md (Results at a glance); docs/decisions.md D-053; narration scene 11</t>
        </is>
      </c>
      <c r="D121" s="7" t="inlineStr">
        <is>
          <t>Gate</t>
        </is>
      </c>
      <c r="E121" s="7" t="inlineStr">
        <is>
          <t>negative-result</t>
        </is>
      </c>
      <c r="F121" s="7" t="inlineStr">
        <is>
          <t>Gates: D-053; cs.pg.passed</t>
        </is>
      </c>
      <c r="G121" s="7">
        <f>Gates!$G$42</f>
        <v/>
      </c>
      <c r="H121" s="7" t="inlineStr">
        <is>
          <t>FAILED</t>
        </is>
      </c>
      <c r="I121" s="7" t="n"/>
      <c r="J121" s="7">
        <f>IF(G121=H121,"matches","MISMATCH")</f>
        <v/>
      </c>
      <c r="K121" s="7" t="inlineStr"/>
      <c r="L121" s="7" t="inlineStr"/>
      <c r="M121" s="7" t="inlineStr">
        <is>
          <t>constrained-d053 | primary gate</t>
        </is>
      </c>
    </row>
    <row r="122">
      <c r="A122" s="7" t="inlineStr">
        <is>
          <t>C-53-13</t>
        </is>
      </c>
      <c r="B122" s="7" t="inlineStr">
        <is>
          <t>D-053 false alarms per observed day S 1.15</t>
        </is>
      </c>
      <c r="C122" s="7" t="inlineStr">
        <is>
          <t>README §7</t>
        </is>
      </c>
      <c r="D122" s="7" t="inlineStr">
        <is>
          <t>Participant-held-out internal (14 CGMacros people, each held out once; previously inspected)</t>
        </is>
      </c>
      <c r="E122" s="7" t="inlineStr">
        <is>
          <t>supported</t>
        </is>
      </c>
      <c r="F122" s="7" t="inlineStr">
        <is>
          <t>cs.w.S.fa_day</t>
        </is>
      </c>
      <c r="G122" s="8">
        <f>IF(AND(ISNUMBER(Sources!$C$412)),Sources!$C$412,"unavailable")</f>
        <v/>
      </c>
      <c r="H122" s="7" t="n">
        <v>1.15</v>
      </c>
      <c r="I122" s="7" t="n">
        <v>2</v>
      </c>
      <c r="J122" s="7">
        <f>IF(ISNUMBER(G122),IF(ABS(G122-H122)&lt;=0.5*10^(-I122)+1E-9,"matches","MISMATCH"),"pending")</f>
        <v/>
      </c>
      <c r="K122" s="7" t="inlineStr"/>
      <c r="L122" s="7" t="inlineStr"/>
      <c r="M122" s="7" t="inlineStr">
        <is>
          <t>constrained-d053 | false alarms per observed day, S</t>
        </is>
      </c>
    </row>
    <row r="123">
      <c r="A123" s="7" t="inlineStr">
        <is>
          <t>C-53-14</t>
        </is>
      </c>
      <c r="B123" s="7" t="inlineStr">
        <is>
          <t>D-053 false alarms per observed day R0-P 1.20</t>
        </is>
      </c>
      <c r="C123" s="7" t="inlineStr">
        <is>
          <t>README §7</t>
        </is>
      </c>
      <c r="D123" s="7" t="inlineStr">
        <is>
          <t>Participant-held-out internal (14 CGMacros people, each held out once; previously inspected)</t>
        </is>
      </c>
      <c r="E123" s="7" t="inlineStr">
        <is>
          <t>supported</t>
        </is>
      </c>
      <c r="F123" s="7" t="inlineStr">
        <is>
          <t>cs.w.R0P.fa_day</t>
        </is>
      </c>
      <c r="G123" s="8">
        <f>IF(AND(ISNUMBER(Sources!$C$418)),Sources!$C$418,"unavailable")</f>
        <v/>
      </c>
      <c r="H123" s="7" t="n">
        <v>1.2</v>
      </c>
      <c r="I123" s="7" t="n">
        <v>2</v>
      </c>
      <c r="J123" s="7">
        <f>IF(ISNUMBER(G123),IF(ABS(G123-H123)&lt;=0.5*10^(-I123)+1E-9,"matches","MISMATCH"),"pending")</f>
        <v/>
      </c>
      <c r="K123" s="7" t="inlineStr"/>
      <c r="L123" s="7" t="inlineStr"/>
      <c r="M123" s="7" t="inlineStr">
        <is>
          <t>constrained-d053 | false alarms per observed day, R0-P</t>
        </is>
      </c>
    </row>
    <row r="124">
      <c r="A124" s="7" t="inlineStr">
        <is>
          <t>C-53-15</t>
        </is>
      </c>
      <c r="B124" s="7" t="inlineStr">
        <is>
          <t>D-053 onsets warned ≥ 30 min ahead, S 21.9 %</t>
        </is>
      </c>
      <c r="C124" s="7" t="inlineStr">
        <is>
          <t>README §7</t>
        </is>
      </c>
      <c r="D124" s="7" t="inlineStr">
        <is>
          <t>Participant-held-out internal (14 CGMacros people, each held out once; previously inspected)</t>
        </is>
      </c>
      <c r="E124" s="7" t="inlineStr">
        <is>
          <t>supported</t>
        </is>
      </c>
      <c r="F124" s="7" t="inlineStr">
        <is>
          <t>cs.w.S.share30</t>
        </is>
      </c>
      <c r="G124" s="8">
        <f>IF(AND(ISNUMBER(Sources!$C$413)),Sources!$C$413*100,"unavailable")</f>
        <v/>
      </c>
      <c r="H124" s="7" t="n">
        <v>21.9</v>
      </c>
      <c r="I124" s="7" t="n">
        <v>1</v>
      </c>
      <c r="J124" s="7">
        <f>IF(ISNUMBER(G124),IF(ABS(G124-H124)&lt;=0.5*10^(-I124)+1E-9,"matches","MISMATCH"),"pending")</f>
        <v/>
      </c>
      <c r="K124" s="7" t="inlineStr"/>
      <c r="L124" s="7" t="inlineStr"/>
      <c r="M124" s="7" t="inlineStr">
        <is>
          <t>constrained-d053 | onsets warned ≥ 30 min ahead, S</t>
        </is>
      </c>
    </row>
    <row r="125">
      <c r="A125" s="7" t="inlineStr">
        <is>
          <t>C-53-16</t>
        </is>
      </c>
      <c r="B125" s="7" t="inlineStr">
        <is>
          <t>D-053 onsets warned ≥ 30 min ahead, R0-P 16.4 %</t>
        </is>
      </c>
      <c r="C125" s="7" t="inlineStr">
        <is>
          <t>README §7</t>
        </is>
      </c>
      <c r="D125" s="7" t="inlineStr">
        <is>
          <t>Participant-held-out internal (14 CGMacros people, each held out once; previously inspected)</t>
        </is>
      </c>
      <c r="E125" s="7" t="inlineStr">
        <is>
          <t>supported</t>
        </is>
      </c>
      <c r="F125" s="7" t="inlineStr">
        <is>
          <t>cs.w.R0P.share30</t>
        </is>
      </c>
      <c r="G125" s="8">
        <f>IF(AND(ISNUMBER(Sources!$C$419)),Sources!$C$419*100,"unavailable")</f>
        <v/>
      </c>
      <c r="H125" s="7" t="n">
        <v>16.4</v>
      </c>
      <c r="I125" s="7" t="n">
        <v>1</v>
      </c>
      <c r="J125" s="7">
        <f>IF(ISNUMBER(G125),IF(ABS(G125-H125)&lt;=0.5*10^(-I125)+1E-9,"matches","MISMATCH"),"pending")</f>
        <v/>
      </c>
      <c r="K125" s="7" t="inlineStr"/>
      <c r="L125" s="7" t="inlineStr"/>
      <c r="M125" s="7" t="inlineStr">
        <is>
          <t>constrained-d053 | onsets warned ≥ 30 min ahead, R0-P</t>
        </is>
      </c>
    </row>
    <row r="126">
      <c r="A126" s="7" t="inlineStr">
        <is>
          <t>C-53-17</t>
        </is>
      </c>
      <c r="B126" s="7" t="inlineStr">
        <is>
          <t>D-053 operational gate passed</t>
        </is>
      </c>
      <c r="C126" s="7" t="inlineStr">
        <is>
          <t>README §7</t>
        </is>
      </c>
      <c r="D126" s="7" t="inlineStr">
        <is>
          <t>Gate</t>
        </is>
      </c>
      <c r="E126" s="7" t="inlineStr">
        <is>
          <t>supported</t>
        </is>
      </c>
      <c r="F126" s="7" t="inlineStr">
        <is>
          <t>Gates: D-053 operational</t>
        </is>
      </c>
      <c r="G126" s="7">
        <f>Gates!$G$41</f>
        <v/>
      </c>
      <c r="H126" s="7" t="inlineStr">
        <is>
          <t>PASSED</t>
        </is>
      </c>
      <c r="I126" s="7" t="n"/>
      <c r="J126" s="7">
        <f>IF(G126=H126,"matches","MISMATCH")</f>
        <v/>
      </c>
      <c r="K126" s="7" t="inlineStr"/>
      <c r="L126" s="7" t="inlineStr"/>
      <c r="M126" s="7" t="inlineStr">
        <is>
          <t>constrained-d053 | operational gate</t>
        </is>
      </c>
    </row>
    <row r="127">
      <c r="A127" s="7" t="inlineStr">
        <is>
          <t>C-53-18</t>
        </is>
      </c>
      <c r="B127" s="7" t="inlineStr">
        <is>
          <t>D-053 range coverage 79.4 % at 30 min</t>
        </is>
      </c>
      <c r="C127" s="7" t="inlineStr">
        <is>
          <t>README §7</t>
        </is>
      </c>
      <c r="D127" s="7" t="inlineStr">
        <is>
          <t>Participant-held-out internal (14 CGMacros people, each held out once; previously inspected)</t>
        </is>
      </c>
      <c r="E127" s="7" t="inlineStr">
        <is>
          <t>supported</t>
        </is>
      </c>
      <c r="F127" s="7" t="inlineStr">
        <is>
          <t>cs.cov30</t>
        </is>
      </c>
      <c r="G127" s="8">
        <f>IF(AND(ISNUMBER(Sources!$C$427)),Sources!$C$427*100,"unavailable")</f>
        <v/>
      </c>
      <c r="H127" s="7" t="n">
        <v>79.40000000000001</v>
      </c>
      <c r="I127" s="7" t="n">
        <v>1</v>
      </c>
      <c r="J127" s="7">
        <f>IF(ISNUMBER(G127),IF(ABS(G127-H127)&lt;=0.5*10^(-I127)+1E-9,"matches","MISMATCH"),"pending")</f>
        <v/>
      </c>
      <c r="K127" s="7" t="inlineStr"/>
      <c r="L127" s="7" t="inlineStr"/>
      <c r="M127" s="7" t="inlineStr">
        <is>
          <t>constrained-d053 | range coverage 30 min</t>
        </is>
      </c>
    </row>
    <row r="128">
      <c r="A128" s="7" t="inlineStr">
        <is>
          <t>C-53-19</t>
        </is>
      </c>
      <c r="B128" s="7" t="inlineStr">
        <is>
          <t>D-053 range coverage 77.3 % at 60 min</t>
        </is>
      </c>
      <c r="C128" s="7" t="inlineStr">
        <is>
          <t>README §7</t>
        </is>
      </c>
      <c r="D128" s="7" t="inlineStr">
        <is>
          <t>Participant-held-out internal (14 CGMacros people, each held out once; previously inspected)</t>
        </is>
      </c>
      <c r="E128" s="7" t="inlineStr">
        <is>
          <t>supported</t>
        </is>
      </c>
      <c r="F128" s="7" t="inlineStr">
        <is>
          <t>cs.cov60</t>
        </is>
      </c>
      <c r="G128" s="8">
        <f>IF(AND(ISNUMBER(Sources!$C$428)),Sources!$C$428*100,"unavailable")</f>
        <v/>
      </c>
      <c r="H128" s="7" t="n">
        <v>77.3</v>
      </c>
      <c r="I128" s="7" t="n">
        <v>1</v>
      </c>
      <c r="J128" s="7">
        <f>IF(ISNUMBER(G128),IF(ABS(G128-H128)&lt;=0.5*10^(-I128)+1E-9,"matches","MISMATCH"),"pending")</f>
        <v/>
      </c>
      <c r="K128" s="7" t="inlineStr"/>
      <c r="L128" s="7" t="inlineStr"/>
      <c r="M128" s="7" t="inlineStr">
        <is>
          <t>constrained-d053 | range coverage 60 min</t>
        </is>
      </c>
    </row>
    <row r="129">
      <c r="A129" s="7" t="inlineStr">
        <is>
          <t>C-54-01</t>
        </is>
      </c>
      <c r="B129" s="7" t="inlineStr">
        <is>
          <t>D-054 foundation 60-min MAE 22.92</t>
        </is>
      </c>
      <c r="C129" s="7" t="inlineStr">
        <is>
          <t>README.md (Results at a glance); Deck s11; Deck s12; narration scene 16</t>
        </is>
      </c>
      <c r="D129" s="7" t="inlineStr">
        <is>
          <t>Participant-held-out internal (14 CGMacros people, each held out once; previously inspected) — all origins</t>
        </is>
      </c>
      <c r="E129" s="7" t="inlineStr">
        <is>
          <t>supported</t>
        </is>
      </c>
      <c r="F129" s="7" t="inlineStr">
        <is>
          <t>fd.FM60</t>
        </is>
      </c>
      <c r="G129" s="8">
        <f>IF(AND(ISNUMBER(Sources!$C$432)),Sources!$C$432,"unavailable")</f>
        <v/>
      </c>
      <c r="H129" s="7" t="n">
        <v>22.92</v>
      </c>
      <c r="I129" s="7" t="n">
        <v>2</v>
      </c>
      <c r="J129" s="7">
        <f>IF(ISNUMBER(G129),IF(ABS(G129-H129)&lt;=0.5*10^(-I129)+1E-9,"matches","MISMATCH"),"pending")</f>
        <v/>
      </c>
      <c r="K129" s="7" t="inlineStr">
        <is>
          <t>Zero-shot, CGM only, not fine-tuned, not served</t>
        </is>
      </c>
      <c r="L129" s="7" t="inlineStr"/>
      <c r="M129" s="7" t="inlineStr">
        <is>
          <t>foundation-d054 | foundation 60-min MAE</t>
        </is>
      </c>
    </row>
    <row r="130">
      <c r="A130" s="7" t="inlineStr">
        <is>
          <t>C-54-02</t>
        </is>
      </c>
      <c r="B130" s="7" t="inlineStr">
        <is>
          <t>D-054 foundation 30-min MAE 14.55</t>
        </is>
      </c>
      <c r="C130" s="7" t="inlineStr">
        <is>
          <t>README.md (Results at a glance); Deck s11</t>
        </is>
      </c>
      <c r="D130" s="7" t="inlineStr">
        <is>
          <t>Participant-held-out internal (14 CGMacros people, each held out once; previously inspected)</t>
        </is>
      </c>
      <c r="E130" s="7" t="inlineStr">
        <is>
          <t>supported</t>
        </is>
      </c>
      <c r="F130" s="7" t="inlineStr">
        <is>
          <t>fd.FM30</t>
        </is>
      </c>
      <c r="G130" s="8">
        <f>IF(AND(ISNUMBER(Sources!$C$433)),Sources!$C$433,"unavailable")</f>
        <v/>
      </c>
      <c r="H130" s="7" t="n">
        <v>14.55</v>
      </c>
      <c r="I130" s="7" t="n">
        <v>2</v>
      </c>
      <c r="J130" s="7">
        <f>IF(ISNUMBER(G130),IF(ABS(G130-H130)&lt;=0.5*10^(-I130)+1E-9,"matches","MISMATCH"),"pending")</f>
        <v/>
      </c>
      <c r="K130" s="7" t="inlineStr"/>
      <c r="L130" s="7" t="inlineStr"/>
      <c r="M130" s="7" t="inlineStr"/>
    </row>
    <row r="131">
      <c r="A131" s="7" t="inlineStr">
        <is>
          <t>C-54-03</t>
        </is>
      </c>
      <c r="B131" s="7" t="inlineStr">
        <is>
          <t>D-054 persistence 24.47 on identical origins</t>
        </is>
      </c>
      <c r="C131" s="7" t="inlineStr">
        <is>
          <t>README.md (Results at a glance); Deck s11; narration scene 16</t>
        </is>
      </c>
      <c r="D131" s="7" t="inlineStr">
        <is>
          <t>Participant-held-out internal (14 CGMacros people, each held out once; previously inspected)</t>
        </is>
      </c>
      <c r="E131" s="7" t="inlineStr">
        <is>
          <t>supported</t>
        </is>
      </c>
      <c r="F131" s="7" t="inlineStr">
        <is>
          <t>fd.P60</t>
        </is>
      </c>
      <c r="G131" s="8">
        <f>IF(AND(ISNUMBER(Sources!$C$434)),Sources!$C$434,"unavailable")</f>
        <v/>
      </c>
      <c r="H131" s="7" t="n">
        <v>24.47</v>
      </c>
      <c r="I131" s="7" t="n">
        <v>2</v>
      </c>
      <c r="J131" s="7">
        <f>IF(ISNUMBER(G131),IF(ABS(G131-H131)&lt;=0.5*10^(-I131)+1E-9,"matches","MISMATCH"),"pending")</f>
        <v/>
      </c>
      <c r="K131" s="7" t="inlineStr"/>
      <c r="L131" s="7" t="inlineStr"/>
      <c r="M131" s="7" t="inlineStr">
        <is>
          <t>foundation-d054 | persistence 60-min MAE (identical origins)</t>
        </is>
      </c>
    </row>
    <row r="132">
      <c r="A132" s="7" t="inlineStr">
        <is>
          <t>C-54-04</t>
        </is>
      </c>
      <c r="B132" s="7" t="inlineStr">
        <is>
          <t>D-054 foundation − persistence −1.54 [−1.81, −1.30]</t>
        </is>
      </c>
      <c r="C132" s="7" t="inlineStr">
        <is>
          <t>README §7; Deck s12</t>
        </is>
      </c>
      <c r="D132" s="7" t="inlineStr">
        <is>
          <t>Participant-held-out internal (14 CGMacros people, each held out once; previously inspected)</t>
        </is>
      </c>
      <c r="E132" s="7" t="inlineStr">
        <is>
          <t>supported</t>
        </is>
      </c>
      <c r="F132" s="7" t="inlineStr">
        <is>
          <t>fd.fp.mean</t>
        </is>
      </c>
      <c r="G132" s="8">
        <f>IF(AND(ISNUMBER(Sources!$C$437)),Sources!$C$437,"unavailable")</f>
        <v/>
      </c>
      <c r="H132" s="7" t="n">
        <v>-1.54</v>
      </c>
      <c r="I132" s="7" t="n">
        <v>2</v>
      </c>
      <c r="J132" s="7">
        <f>IF(ISNUMBER(G132),IF(ABS(G132-H132)&lt;=0.5*10^(-I132)+1E-9,"matches","MISMATCH"),"pending")</f>
        <v/>
      </c>
      <c r="K132" s="7" t="inlineStr"/>
      <c r="L132" s="7" t="inlineStr"/>
      <c r="M132" s="7" t="inlineStr">
        <is>
          <t>foundation-d054 | foundation − persistence</t>
        </is>
      </c>
    </row>
    <row r="133">
      <c r="A133" s="7" t="inlineStr">
        <is>
          <t>C-54-05</t>
        </is>
      </c>
      <c r="B133" s="7" t="inlineStr">
        <is>
          <t>D-054 all 14 people better than persistence</t>
        </is>
      </c>
      <c r="C133" s="7" t="inlineStr">
        <is>
          <t>README §7; Deck s12; narration scene 11, 16</t>
        </is>
      </c>
      <c r="D133" s="7" t="inlineStr">
        <is>
          <t>Participant-held-out internal (14 CGMacros people, each held out once; previously inspected)</t>
        </is>
      </c>
      <c r="E133" s="7" t="inlineStr">
        <is>
          <t>supported</t>
        </is>
      </c>
      <c r="F133" s="7" t="inlineStr">
        <is>
          <t>fd.fp.people_better</t>
        </is>
      </c>
      <c r="G133" s="8">
        <f>IF(AND(ISNUMBER(Sources!$C$440)),Sources!$C$440,"unavailable")</f>
        <v/>
      </c>
      <c r="H133" s="7" t="n">
        <v>14</v>
      </c>
      <c r="I133" s="7" t="n">
        <v>0</v>
      </c>
      <c r="J133" s="7">
        <f>IF(ISNUMBER(G133),IF(ABS(G133-H133)&lt;=0.5*10^(-I133)+1E-9,"matches","MISMATCH"),"pending")</f>
        <v/>
      </c>
      <c r="K133" s="7" t="inlineStr"/>
      <c r="L133" s="7" t="inlineStr"/>
      <c r="M133" s="7" t="inlineStr">
        <is>
          <t>foundation-d054 | people better than persistence</t>
        </is>
      </c>
    </row>
    <row r="134">
      <c r="A134" s="7" t="inlineStr">
        <is>
          <t>C-54-06</t>
        </is>
      </c>
      <c r="B134" s="7" t="inlineStr">
        <is>
          <t>D-054 refitted serving recipe 22.50 at 60 min</t>
        </is>
      </c>
      <c r="C134" s="7" t="inlineStr">
        <is>
          <t>README.md (Results at a glance); Deck s12; narration scene 16</t>
        </is>
      </c>
      <c r="D134" s="7" t="inlineStr">
        <is>
          <t>Participant-held-out internal (14 CGMacros people, each held out once; previously inspected)</t>
        </is>
      </c>
      <c r="E134" s="7" t="inlineStr">
        <is>
          <t>supported</t>
        </is>
      </c>
      <c r="F134" s="7" t="inlineStr">
        <is>
          <t>fd.R060</t>
        </is>
      </c>
      <c r="G134" s="8">
        <f>IF(AND(ISNUMBER(Sources!$C$436)),Sources!$C$436,"unavailable")</f>
        <v/>
      </c>
      <c r="H134" s="7" t="n">
        <v>22.5</v>
      </c>
      <c r="I134" s="7" t="n">
        <v>2</v>
      </c>
      <c r="J134" s="7">
        <f>IF(ISNUMBER(G134),IF(ABS(G134-H134)&lt;=0.5*10^(-I134)+1E-9,"matches","MISMATCH"),"pending")</f>
        <v/>
      </c>
      <c r="K134" s="7" t="inlineStr"/>
      <c r="L134" s="7" t="inlineStr"/>
      <c r="M134" s="7" t="inlineStr">
        <is>
          <t>foundation-d054 | refitted serving recipe 60-min MAE (saved D-052 R0)</t>
        </is>
      </c>
    </row>
    <row r="135">
      <c r="A135" s="7" t="inlineStr">
        <is>
          <t>C-54-07</t>
        </is>
      </c>
      <c r="B135" s="7" t="inlineStr">
        <is>
          <t>D-054 foundation − refitted recipe +0.42 [−0.70, +1.47]: not better</t>
        </is>
      </c>
      <c r="C135" s="7" t="inlineStr">
        <is>
          <t>README §7; Deck s12; narration scene 11</t>
        </is>
      </c>
      <c r="D135" s="7" t="inlineStr">
        <is>
          <t>Participant-held-out internal (14 CGMacros people, each held out once; previously inspected)</t>
        </is>
      </c>
      <c r="E135" s="7" t="inlineStr">
        <is>
          <t>negative-result</t>
        </is>
      </c>
      <c r="F135" s="7" t="inlineStr">
        <is>
          <t>fd.fr.mean</t>
        </is>
      </c>
      <c r="G135" s="8">
        <f>IF(AND(ISNUMBER(Sources!$C$441)),Sources!$C$441,"unavailable")</f>
        <v/>
      </c>
      <c r="H135" s="7" t="n">
        <v>0.42</v>
      </c>
      <c r="I135" s="7" t="n">
        <v>2</v>
      </c>
      <c r="J135" s="7">
        <f>IF(ISNUMBER(G135),IF(ABS(G135-H135)&lt;=0.5*10^(-I135)+1E-9,"matches","MISMATCH"),"pending")</f>
        <v/>
      </c>
      <c r="K135" s="7" t="inlineStr"/>
      <c r="L135" s="7" t="inlineStr"/>
      <c r="M135" s="7" t="inlineStr">
        <is>
          <t>foundation-d054 | foundation − refitted recipe</t>
        </is>
      </c>
    </row>
    <row r="136">
      <c r="A136" s="7" t="inlineStr">
        <is>
          <t>C-54-08</t>
        </is>
      </c>
      <c r="B136" s="7" t="inlineStr">
        <is>
          <t>D-054 F1 residual − same-code refit −0.46 [−0.72, −0.21] (descriptive)</t>
        </is>
      </c>
      <c r="C136" s="7" t="inlineStr">
        <is>
          <t>README §7</t>
        </is>
      </c>
      <c r="D136" s="7" t="inlineStr">
        <is>
          <t>Participant-held-out internal (14 CGMacros people, each held out once; previously inspected)</t>
        </is>
      </c>
      <c r="E136" s="7" t="inlineStr">
        <is>
          <t>supported</t>
        </is>
      </c>
      <c r="F136" s="7" t="inlineStr">
        <is>
          <t>fd.f1.mean</t>
        </is>
      </c>
      <c r="G136" s="8">
        <f>IF(AND(ISNUMBER(Sources!$C$445)),Sources!$C$445,"unavailable")</f>
        <v/>
      </c>
      <c r="H136" s="7" t="n">
        <v>-0.46</v>
      </c>
      <c r="I136" s="7" t="n">
        <v>2</v>
      </c>
      <c r="J136" s="7">
        <f>IF(ISNUMBER(G136),IF(ABS(G136-H136)&lt;=0.5*10^(-I136)+1E-9,"matches","MISMATCH"),"pending")</f>
        <v/>
      </c>
      <c r="K136" s="7" t="inlineStr">
        <is>
          <t>Descriptive secondary evidence; below the −0.5 bar used elsewhere; not promoted</t>
        </is>
      </c>
      <c r="L136" s="7" t="inlineStr"/>
      <c r="M136" s="7" t="inlineStr">
        <is>
          <t>foundation-d054 | F1 residual − same-code refit (descriptive)</t>
        </is>
      </c>
    </row>
    <row r="137">
      <c r="A137" s="7" t="inlineStr">
        <is>
          <t>C-PR-01</t>
        </is>
      </c>
      <c r="B137" s="7" t="inlineStr">
        <is>
          <t>App replay reproduced all 15,440 saved test forecasts</t>
        </is>
      </c>
      <c r="C137" s="7" t="inlineStr">
        <is>
          <t>README.md (Results at a glance); README Safety guardrails; Deck s10; narration metric card</t>
        </is>
      </c>
      <c r="D137" s="7" t="inlineStr">
        <is>
          <t>Software test (saved parity run)</t>
        </is>
      </c>
      <c r="E137" s="7" t="inlineStr">
        <is>
          <t>tested</t>
        </is>
      </c>
      <c r="F137" s="7" t="inlineStr">
        <is>
          <t>parity.compared</t>
        </is>
      </c>
      <c r="G137" s="8">
        <f>IF(AND(ISNUMBER(Sources!$C$173)),Sources!$C$173,"unavailable")</f>
        <v/>
      </c>
      <c r="H137" s="7" t="n">
        <v>15440</v>
      </c>
      <c r="I137" s="7" t="n">
        <v>0</v>
      </c>
      <c r="J137" s="7">
        <f>IF(ISNUMBER(G137),IF(ABS(G137-H137)&lt;=0.5*10^(-I137)+1E-9,"matches","MISMATCH"),"pending")</f>
        <v/>
      </c>
      <c r="K137" s="7" t="inlineStr">
        <is>
          <t>15,440 = forecasts (7,720 issued origins × 2 horizons), not origins or people</t>
        </is>
      </c>
      <c r="L137" s="7" t="inlineStr"/>
      <c r="M137" s="7" t="inlineStr">
        <is>
          <t>parity | forecasts compared (saved parity run, outcome pass for the serving model)</t>
        </is>
      </c>
    </row>
    <row r="138">
      <c r="A138" s="7" t="inlineStr">
        <is>
          <t>C-PR-02</t>
        </is>
      </c>
      <c r="B138" s="7" t="inlineStr">
        <is>
          <t>Parity tolerance 0.05 mg/dL</t>
        </is>
      </c>
      <c r="C138" s="7" t="inlineStr">
        <is>
          <t>README.md (Results at a glance); Deck s10</t>
        </is>
      </c>
      <c r="D138" s="7" t="inlineStr">
        <is>
          <t>Software test</t>
        </is>
      </c>
      <c r="E138" s="7" t="inlineStr">
        <is>
          <t>tested</t>
        </is>
      </c>
      <c r="F138" s="7" t="inlineStr">
        <is>
          <t>parity.tolerance_mg_dl</t>
        </is>
      </c>
      <c r="G138" s="8">
        <f>IF(AND(ISNUMBER(Sources!$C$177)),Sources!$C$177,"unavailable")</f>
        <v/>
      </c>
      <c r="H138" s="7" t="n">
        <v>0.05</v>
      </c>
      <c r="I138" s="7" t="n">
        <v>2</v>
      </c>
      <c r="J138" s="7">
        <f>IF(ISNUMBER(G138),IF(ABS(G138-H138)&lt;=0.5*10^(-I138)+1E-9,"matches","MISMATCH"),"pending")</f>
        <v/>
      </c>
      <c r="K138" s="7" t="inlineStr"/>
      <c r="L138" s="7" t="inlineStr"/>
      <c r="M138" s="7" t="inlineStr">
        <is>
          <t>parity | tolerance (mg/dL)</t>
        </is>
      </c>
    </row>
    <row r="139">
      <c r="A139" s="7" t="inlineStr">
        <is>
          <t>C-SY-01</t>
        </is>
      </c>
      <c r="B139" s="7" t="inlineStr">
        <is>
          <t>Synthetic demonstration model is fitted on fictional data, never evidence</t>
        </is>
      </c>
      <c r="C139" s="7" t="inlineStr">
        <is>
          <t>README (Public demonstration)</t>
        </is>
      </c>
      <c r="D139" s="7" t="inlineStr">
        <is>
          <t>Synthetic mode</t>
        </is>
      </c>
      <c r="E139" s="7" t="inlineStr">
        <is>
          <t>supported</t>
        </is>
      </c>
      <c r="F139" s="7" t="inlineStr">
        <is>
          <t>reg.synthetic_fitted; registry</t>
        </is>
      </c>
      <c r="G139" s="7" t="inlineStr">
        <is>
          <t>—</t>
        </is>
      </c>
      <c r="H139" s="7" t="inlineStr">
        <is>
          <t>—</t>
        </is>
      </c>
      <c r="I139" s="7" t="n"/>
      <c r="J139" s="7" t="inlineStr">
        <is>
          <t>—</t>
        </is>
      </c>
      <c r="K139" s="7" t="inlineStr"/>
      <c r="L139" s="7" t="inlineStr"/>
      <c r="M139" s="7" t="inlineStr">
        <is>
          <t>synthetic | synthetic-demo.lightgbm.dyn-v2.v1 fitted on fictional data (registry synthetic_fitted)</t>
        </is>
      </c>
    </row>
    <row r="140">
      <c r="A140" s="7" t="inlineStr">
        <is>
          <t>C-FC-05</t>
        </is>
      </c>
      <c r="B140" s="7" t="inlineStr">
        <is>
          <t>Serving vs persistence −1.88 mg/dL at 30 min</t>
        </is>
      </c>
      <c r="C140" s="7" t="inlineStr">
        <is>
          <t>README.md §7</t>
        </is>
      </c>
      <c r="D140" s="7" t="inlineStr">
        <is>
          <t>Serving model, final test segment (later recordings of the same 14 people; retrospective, inspected)</t>
        </is>
      </c>
      <c r="E140" s="7" t="inlineStr">
        <is>
          <t>supported</t>
        </is>
      </c>
      <c r="F140" s="7" t="inlineStr">
        <is>
          <t>fus.cmp.sp.d30</t>
        </is>
      </c>
      <c r="G140" s="8">
        <f>IF(AND(ISNUMBER(Sources!$C$37)),Sources!$C$37,"unavailable")</f>
        <v/>
      </c>
      <c r="H140" s="7" t="n">
        <v>-1.88</v>
      </c>
      <c r="I140" s="7" t="n">
        <v>2</v>
      </c>
      <c r="J140" s="7">
        <f>IF(ISNUMBER(G140),IF(ABS(G140-H140)&lt;=0.5*10^(-I140)+1E-9,"matches","MISMATCH"),"pending")</f>
        <v/>
      </c>
      <c r="K140" s="7" t="inlineStr">
        <is>
          <t>Candidate − control; participant-cluster bootstrap</t>
        </is>
      </c>
      <c r="L140" s="7" t="inlineStr"/>
      <c r="M140" s="7" t="inlineStr"/>
    </row>
    <row r="141">
      <c r="A141" s="7" t="inlineStr">
        <is>
          <t>C-FC-06</t>
        </is>
      </c>
      <c r="B141" s="7" t="inlineStr">
        <is>
          <t>Serving vs persistence 30-min CI [−2.53, −1.32]</t>
        </is>
      </c>
      <c r="C141" s="7" t="inlineStr">
        <is>
          <t>README.md §7</t>
        </is>
      </c>
      <c r="D141" s="7" t="inlineStr">
        <is>
          <t>Serving model, final test segment (later recordings of the same 14 people; retrospective, inspected)</t>
        </is>
      </c>
      <c r="E141" s="7" t="inlineStr">
        <is>
          <t>supported</t>
        </is>
      </c>
      <c r="F141" s="7" t="inlineStr">
        <is>
          <t>fus.cmp.sp.hi30; fus.cmp.sp.lo30</t>
        </is>
      </c>
      <c r="G141" s="8">
        <f>IF(AND(ISNUMBER(Sources!$C$39)),Sources!$C$39,"unavailable")</f>
        <v/>
      </c>
      <c r="H141" s="7" t="n">
        <v>-1.32</v>
      </c>
      <c r="I141" s="7" t="n">
        <v>2</v>
      </c>
      <c r="J141" s="7">
        <f>IF(ISNUMBER(G141),IF(ABS(G141-H141)&lt;=0.5*10^(-I141)+1E-9,"matches","MISMATCH"),"pending")</f>
        <v/>
      </c>
      <c r="K141" s="7" t="inlineStr"/>
      <c r="L141" s="7" t="inlineStr"/>
      <c r="M141" s="7" t="inlineStr"/>
    </row>
    <row r="142">
      <c r="A142" s="7" t="inlineStr">
        <is>
          <t>C-FC-07</t>
        </is>
      </c>
      <c r="B142" s="7" t="inlineStr">
        <is>
          <t>Serving vs persistence −2.96 [−4.34, −1.77] at 60 min</t>
        </is>
      </c>
      <c r="C142" s="7" t="inlineStr">
        <is>
          <t>README.md §7</t>
        </is>
      </c>
      <c r="D142" s="7" t="inlineStr">
        <is>
          <t>Serving model, final test segment (later recordings of the same 14 people; retrospective, inspected)</t>
        </is>
      </c>
      <c r="E142" s="7" t="inlineStr">
        <is>
          <t>supported</t>
        </is>
      </c>
      <c r="F142" s="7" t="inlineStr">
        <is>
          <t>fus.cmp.sp.d60</t>
        </is>
      </c>
      <c r="G142" s="8">
        <f>IF(AND(ISNUMBER(Sources!$C$40)),Sources!$C$40,"unavailable")</f>
        <v/>
      </c>
      <c r="H142" s="7" t="n">
        <v>-2.96</v>
      </c>
      <c r="I142" s="7" t="n">
        <v>2</v>
      </c>
      <c r="J142" s="7">
        <f>IF(ISNUMBER(G142),IF(ABS(G142-H142)&lt;=0.5*10^(-I142)+1E-9,"matches","MISMATCH"),"pending")</f>
        <v/>
      </c>
      <c r="K142" s="7" t="inlineStr"/>
      <c r="L142" s="7" t="inlineStr"/>
      <c r="M142" s="7" t="inlineStr"/>
    </row>
    <row r="143">
      <c r="A143" s="7" t="inlineStr">
        <is>
          <t>C-FC-08</t>
        </is>
      </c>
      <c r="B143" s="7" t="inlineStr">
        <is>
          <t>Serving better than persistence for 14/14 participants at 30 min</t>
        </is>
      </c>
      <c r="C143" s="7" t="inlineStr">
        <is>
          <t>README.md §7; Deck s13</t>
        </is>
      </c>
      <c r="D143" s="7" t="inlineStr">
        <is>
          <t>Serving model, final test segment (later recordings of the same 14 people; retrospective, inspected)</t>
        </is>
      </c>
      <c r="E143" s="7" t="inlineStr">
        <is>
          <t>supported</t>
        </is>
      </c>
      <c r="F143" s="7" t="inlineStr">
        <is>
          <t>fus.better30</t>
        </is>
      </c>
      <c r="G143" s="8">
        <f>IF(AND(ISNUMBER(Sources!$C$121)),Sources!$C$121,"unavailable")</f>
        <v/>
      </c>
      <c r="H143" s="7" t="n">
        <v>14</v>
      </c>
      <c r="I143" s="7" t="n">
        <v>0</v>
      </c>
      <c r="J143" s="7">
        <f>IF(ISNUMBER(G143),IF(ABS(G143-H143)&lt;=0.5*10^(-I143)+1E-9,"matches","MISMATCH"),"pending")</f>
        <v/>
      </c>
      <c r="K143" s="7" t="inlineStr"/>
      <c r="L143" s="7" t="inlineStr"/>
      <c r="M143" s="7" t="inlineStr"/>
    </row>
    <row r="144">
      <c r="A144" s="7" t="inlineStr">
        <is>
          <t>C-FC-09</t>
        </is>
      </c>
      <c r="B144" s="7" t="inlineStr">
        <is>
          <t>Serving better than persistence for 13/14 participants at 60 min</t>
        </is>
      </c>
      <c r="C144" s="7" t="inlineStr">
        <is>
          <t>README.md §7; Deck s13</t>
        </is>
      </c>
      <c r="D144" s="7" t="inlineStr">
        <is>
          <t>Serving model, final test segment (later recordings of the same 14 people; retrospective, inspected)</t>
        </is>
      </c>
      <c r="E144" s="7" t="inlineStr">
        <is>
          <t>supported</t>
        </is>
      </c>
      <c r="F144" s="7" t="inlineStr">
        <is>
          <t>fus.better60</t>
        </is>
      </c>
      <c r="G144" s="8">
        <f>IF(AND(ISNUMBER(Sources!$C$122)),Sources!$C$122,"unavailable")</f>
        <v/>
      </c>
      <c r="H144" s="7" t="n">
        <v>13</v>
      </c>
      <c r="I144" s="7" t="n">
        <v>0</v>
      </c>
      <c r="J144" s="7">
        <f>IF(ISNUMBER(G144),IF(ABS(G144-H144)&lt;=0.5*10^(-I144)+1E-9,"matches","MISMATCH"),"pending")</f>
        <v/>
      </c>
      <c r="K144" s="7" t="inlineStr"/>
      <c r="L144" s="7" t="inlineStr"/>
      <c r="M144" s="7" t="inlineStr"/>
    </row>
    <row r="145">
      <c r="A145" s="7" t="inlineStr">
        <is>
          <t>C-FC-10</t>
        </is>
      </c>
      <c r="B145" s="7" t="inlineStr">
        <is>
          <t>Patient adaptation −0.18 [−0.35, −0.01] at 30 min</t>
        </is>
      </c>
      <c r="C145" s="7" t="inlineStr">
        <is>
          <t>README.md §7</t>
        </is>
      </c>
      <c r="D145" s="7" t="inlineStr">
        <is>
          <t>Serving model, final test segment (later recordings of the same 14 people; retrospective, inspected)</t>
        </is>
      </c>
      <c r="E145" s="7" t="inlineStr">
        <is>
          <t>supported</t>
        </is>
      </c>
      <c r="F145" s="7" t="inlineStr">
        <is>
          <t>fus.cmp.adapt.d30</t>
        </is>
      </c>
      <c r="G145" s="8">
        <f>IF(AND(ISNUMBER(Sources!$C$43)),Sources!$C$43,"unavailable")</f>
        <v/>
      </c>
      <c r="H145" s="7" t="n">
        <v>-0.18</v>
      </c>
      <c r="I145" s="7" t="n">
        <v>2</v>
      </c>
      <c r="J145" s="7">
        <f>IF(ISNUMBER(G145),IF(ABS(G145-H145)&lt;=0.5*10^(-I145)+1E-9,"matches","MISMATCH"),"pending")</f>
        <v/>
      </c>
      <c r="K145" s="7" t="inlineStr">
        <is>
          <t>Small</t>
        </is>
      </c>
      <c r="L145" s="7" t="inlineStr"/>
      <c r="M145" s="7" t="inlineStr"/>
    </row>
    <row r="146">
      <c r="A146" s="7" t="inlineStr">
        <is>
          <t>C-FC-11</t>
        </is>
      </c>
      <c r="B146" s="7" t="inlineStr">
        <is>
          <t>Patient adaptation −0.33 [−0.68, +0.02] at 60 min: inconclusive</t>
        </is>
      </c>
      <c r="C146" s="7" t="inlineStr">
        <is>
          <t>README.md §7</t>
        </is>
      </c>
      <c r="D146" s="7" t="inlineStr">
        <is>
          <t>Serving model, final test segment (later recordings of the same 14 people; retrospective, inspected)</t>
        </is>
      </c>
      <c r="E146" s="7" t="inlineStr">
        <is>
          <t>negative-result</t>
        </is>
      </c>
      <c r="F146" s="7" t="inlineStr">
        <is>
          <t>fus.cmp.adapt.d60</t>
        </is>
      </c>
      <c r="G146" s="8">
        <f>IF(AND(ISNUMBER(Sources!$C$46)),Sources!$C$46,"unavailable")</f>
        <v/>
      </c>
      <c r="H146" s="7" t="n">
        <v>-0.33</v>
      </c>
      <c r="I146" s="7" t="n">
        <v>2</v>
      </c>
      <c r="J146" s="7">
        <f>IF(ISNUMBER(G146),IF(ABS(G146-H146)&lt;=0.5*10^(-I146)+1E-9,"matches","MISMATCH"),"pending")</f>
        <v/>
      </c>
      <c r="K146" s="7" t="inlineStr">
        <is>
          <t>CI crosses zero</t>
        </is>
      </c>
      <c r="L146" s="7" t="inlineStr"/>
      <c r="M146" s="7" t="inlineStr"/>
    </row>
    <row r="147">
      <c r="A147" s="7" t="inlineStr">
        <is>
          <t>C-FC-12</t>
        </is>
      </c>
      <c r="B147" s="7" t="inlineStr">
        <is>
          <t>LightGBM minus CatBoost +0.46 [+0.05, +0.92] at 60 min (population)</t>
        </is>
      </c>
      <c r="C147" s="7" t="inlineStr">
        <is>
          <t>README.md §7</t>
        </is>
      </c>
      <c r="D147" s="7" t="inlineStr">
        <is>
          <t>Serving model, final test segment (later recordings of the same 14 people; retrospective, inspected)</t>
        </is>
      </c>
      <c r="E147" s="7" t="inlineStr">
        <is>
          <t>supported</t>
        </is>
      </c>
      <c r="F147" s="7" t="inlineStr">
        <is>
          <t>fus.cmp.lgbcb.d60</t>
        </is>
      </c>
      <c r="G147" s="8">
        <f>IF(AND(ISNUMBER(Sources!$C$52)),Sources!$C$52,"unavailable")</f>
        <v/>
      </c>
      <c r="H147" s="7" t="n">
        <v>0.46</v>
      </c>
      <c r="I147" s="7" t="n">
        <v>2</v>
      </c>
      <c r="J147" s="7">
        <f>IF(ISNUMBER(G147),IF(ABS(G147-H147)&lt;=0.5*10^(-I147)+1E-9,"matches","MISMATCH"),"pending")</f>
        <v/>
      </c>
      <c r="K147" s="7" t="inlineStr">
        <is>
          <t>CatBoost better at 60 min; tie-break chose LightGBM</t>
        </is>
      </c>
      <c r="L147" s="7" t="inlineStr"/>
      <c r="M147" s="7" t="inlineStr"/>
    </row>
    <row r="148">
      <c r="A148" s="7" t="inlineStr">
        <is>
          <t>C-FC-13</t>
        </is>
      </c>
      <c r="B148" s="7" t="inlineStr">
        <is>
          <t>Profile vs no profile within the same 14 people −0.25 at 30 min</t>
        </is>
      </c>
      <c r="C148" s="7" t="inlineStr">
        <is>
          <t>README.md §7</t>
        </is>
      </c>
      <c r="D148" s="7" t="inlineStr">
        <is>
          <t>Serving model, final test segment (later recordings of the same 14 people; retrospective, inspected)</t>
        </is>
      </c>
      <c r="E148" s="7" t="inlineStr">
        <is>
          <t>supported</t>
        </is>
      </c>
      <c r="F148" s="7" t="inlineStr">
        <is>
          <t>fus.cmp.prof.d30</t>
        </is>
      </c>
      <c r="G148" s="8">
        <f>IF(AND(ISNUMBER(Sources!$C$55)),Sources!$C$55,"unavailable")</f>
        <v/>
      </c>
      <c r="H148" s="7" t="n">
        <v>-0.25</v>
      </c>
      <c r="I148" s="7" t="n">
        <v>2</v>
      </c>
      <c r="J148" s="7">
        <f>IF(ISNUMBER(G148),IF(ABS(G148-H148)&lt;=0.5*10^(-I148)+1E-9,"matches","MISMATCH"),"pending")</f>
        <v/>
      </c>
      <c r="K148" s="7" t="inlineStr">
        <is>
          <t>May be identity, not physiology</t>
        </is>
      </c>
      <c r="L148" s="7" t="inlineStr"/>
      <c r="M148" s="7" t="inlineStr"/>
    </row>
    <row r="149">
      <c r="A149" s="7" t="inlineStr">
        <is>
          <t>C-FC-14</t>
        </is>
      </c>
      <c r="B149" s="7" t="inlineStr">
        <is>
          <t>Profile vs no profile within the same 14 people −0.61 at 60 min</t>
        </is>
      </c>
      <c r="C149" s="7" t="inlineStr">
        <is>
          <t>README.md §7</t>
        </is>
      </c>
      <c r="D149" s="7" t="inlineStr">
        <is>
          <t>Serving model, final test segment (later recordings of the same 14 people; retrospective, inspected)</t>
        </is>
      </c>
      <c r="E149" s="7" t="inlineStr">
        <is>
          <t>supported</t>
        </is>
      </c>
      <c r="F149" s="7" t="inlineStr">
        <is>
          <t>fus.cmp.prof.d60</t>
        </is>
      </c>
      <c r="G149" s="8">
        <f>IF(AND(ISNUMBER(Sources!$C$58)),Sources!$C$58,"unavailable")</f>
        <v/>
      </c>
      <c r="H149" s="7" t="n">
        <v>-0.61</v>
      </c>
      <c r="I149" s="7" t="n">
        <v>2</v>
      </c>
      <c r="J149" s="7">
        <f>IF(ISNUMBER(G149),IF(ABS(G149-H149)&lt;=0.5*10^(-I149)+1E-9,"matches","MISMATCH"),"pending")</f>
        <v/>
      </c>
      <c r="K149" s="7" t="inlineStr"/>
      <c r="L149" s="7" t="inlineStr"/>
      <c r="M149" s="7" t="inlineStr"/>
    </row>
    <row r="150">
      <c r="A150" s="7" t="inlineStr">
        <is>
          <t>C-FC-15</t>
        </is>
      </c>
      <c r="B150" s="7" t="inlineStr">
        <is>
          <t>CatBoost + profile + adaptation 12.93 / 19.80 (tied on validation, not selected) — 30 min</t>
        </is>
      </c>
      <c r="C150" s="7" t="inlineStr">
        <is>
          <t>README.md §7</t>
        </is>
      </c>
      <c r="D150" s="7" t="inlineStr">
        <is>
          <t>Serving model, final test segment (later recordings of the same 14 people; retrospective, inspected)</t>
        </is>
      </c>
      <c r="E150" s="7" t="inlineStr">
        <is>
          <t>supported</t>
        </is>
      </c>
      <c r="F150" s="7" t="inlineStr">
        <is>
          <t>fus.cbpa.mae30</t>
        </is>
      </c>
      <c r="G150" s="8">
        <f>IF(AND(ISNUMBER(Sources!$C$33)),Sources!$C$33,"unavailable")</f>
        <v/>
      </c>
      <c r="H150" s="7" t="n">
        <v>12.93</v>
      </c>
      <c r="I150" s="7" t="n">
        <v>2</v>
      </c>
      <c r="J150" s="7">
        <f>IF(ISNUMBER(G150),IF(ABS(G150-H150)&lt;=0.5*10^(-I150)+1E-9,"matches","MISMATCH"),"pending")</f>
        <v/>
      </c>
      <c r="K150" s="7" t="inlineStr"/>
      <c r="L150" s="7" t="inlineStr"/>
      <c r="M150" s="7" t="inlineStr"/>
    </row>
    <row r="151">
      <c r="A151" s="7" t="inlineStr">
        <is>
          <t>C-FC-16</t>
        </is>
      </c>
      <c r="B151" s="7" t="inlineStr">
        <is>
          <t>CatBoost + profile + adaptation 19.80 at 60 min</t>
        </is>
      </c>
      <c r="C151" s="7" t="inlineStr">
        <is>
          <t>README.md §7</t>
        </is>
      </c>
      <c r="D151" s="7" t="inlineStr">
        <is>
          <t>Serving model, final test segment (later recordings of the same 14 people; retrospective, inspected)</t>
        </is>
      </c>
      <c r="E151" s="7" t="inlineStr">
        <is>
          <t>supported</t>
        </is>
      </c>
      <c r="F151" s="7" t="inlineStr">
        <is>
          <t>fus.cbpa.mae60</t>
        </is>
      </c>
      <c r="G151" s="8">
        <f>IF(AND(ISNUMBER(Sources!$C$35)),Sources!$C$35,"unavailable")</f>
        <v/>
      </c>
      <c r="H151" s="7" t="n">
        <v>19.8</v>
      </c>
      <c r="I151" s="7" t="n">
        <v>2</v>
      </c>
      <c r="J151" s="7">
        <f>IF(ISNUMBER(G151),IF(ABS(G151-H151)&lt;=0.5*10^(-I151)+1E-9,"matches","MISMATCH"),"pending")</f>
        <v/>
      </c>
      <c r="K151" s="7" t="inlineStr"/>
      <c r="L151" s="7" t="inlineStr"/>
      <c r="M151" s="7" t="inlineStr"/>
    </row>
    <row r="152">
      <c r="A152" s="7" t="inlineStr">
        <is>
          <t>C-FC-17</t>
        </is>
      </c>
      <c r="B152" s="7" t="inlineStr">
        <is>
          <t>Previous demo model (v2) 13.15 / 20.81 — 30 min</t>
        </is>
      </c>
      <c r="C152" s="7" t="inlineStr">
        <is>
          <t>README.md §7</t>
        </is>
      </c>
      <c r="D152" s="7" t="inlineStr">
        <is>
          <t>Serving model, final test segment (later recordings of the same 14 people; retrospective, inspected)</t>
        </is>
      </c>
      <c r="E152" s="7" t="inlineStr">
        <is>
          <t>supported</t>
        </is>
      </c>
      <c r="F152" s="7" t="inlineStr">
        <is>
          <t>fus.v2a.mae30</t>
        </is>
      </c>
      <c r="G152" s="8">
        <f>IF(AND(ISNUMBER(Sources!$C$17)),Sources!$C$17,"unavailable")</f>
        <v/>
      </c>
      <c r="H152" s="7" t="n">
        <v>13.15</v>
      </c>
      <c r="I152" s="7" t="n">
        <v>2</v>
      </c>
      <c r="J152" s="7">
        <f>IF(ISNUMBER(G152),IF(ABS(G152-H152)&lt;=0.5*10^(-I152)+1E-9,"matches","MISMATCH"),"pending")</f>
        <v/>
      </c>
      <c r="K152" s="7" t="inlineStr"/>
      <c r="L152" s="7" t="inlineStr"/>
      <c r="M152" s="7" t="inlineStr"/>
    </row>
    <row r="153">
      <c r="A153" s="7" t="inlineStr">
        <is>
          <t>C-FC-18</t>
        </is>
      </c>
      <c r="B153" s="7" t="inlineStr">
        <is>
          <t>Previous demo model (v2) 20.81 at 60 min</t>
        </is>
      </c>
      <c r="C153" s="7" t="inlineStr">
        <is>
          <t>README.md §7</t>
        </is>
      </c>
      <c r="D153" s="7" t="inlineStr">
        <is>
          <t>Serving model, final test segment (later recordings of the same 14 people; retrospective, inspected)</t>
        </is>
      </c>
      <c r="E153" s="7" t="inlineStr">
        <is>
          <t>supported</t>
        </is>
      </c>
      <c r="F153" s="7" t="inlineStr">
        <is>
          <t>fus.v2a.mae60</t>
        </is>
      </c>
      <c r="G153" s="8">
        <f>IF(AND(ISNUMBER(Sources!$C$19)),Sources!$C$19,"unavailable")</f>
        <v/>
      </c>
      <c r="H153" s="7" t="n">
        <v>20.81</v>
      </c>
      <c r="I153" s="7" t="n">
        <v>2</v>
      </c>
      <c r="J153" s="7">
        <f>IF(ISNUMBER(G153),IF(ABS(G153-H153)&lt;=0.5*10^(-I153)+1E-9,"matches","MISMATCH"),"pending")</f>
        <v/>
      </c>
      <c r="K153" s="7" t="inlineStr"/>
      <c r="L153" s="7" t="inlineStr"/>
      <c r="M153" s="7" t="inlineStr"/>
    </row>
    <row r="154">
      <c r="A154" s="7" t="inlineStr">
        <is>
          <t>C-FC-19</t>
        </is>
      </c>
      <c r="B154" s="7" t="inlineStr">
        <is>
          <t>7,730 forecast origins in the final test segment</t>
        </is>
      </c>
      <c r="C154" s="7" t="inlineStr">
        <is>
          <t>README.md §7</t>
        </is>
      </c>
      <c r="D154" s="7" t="inlineStr">
        <is>
          <t>Serving model, final test segment (later recordings of the same 14 people; retrospective, inspected)</t>
        </is>
      </c>
      <c r="E154" s="7" t="inlineStr">
        <is>
          <t>supported</t>
        </is>
      </c>
      <c r="F154" s="7" t="inlineStr">
        <is>
          <t>fus.seg.test.origins</t>
        </is>
      </c>
      <c r="G154" s="8">
        <f>IF(AND(ISNUMBER(Sources!$C$109)),Sources!$C$109,"unavailable")</f>
        <v/>
      </c>
      <c r="H154" s="7" t="n">
        <v>7730</v>
      </c>
      <c r="I154" s="7" t="n">
        <v>0</v>
      </c>
      <c r="J154" s="7">
        <f>IF(ISNUMBER(G154),IF(ABS(G154-H154)&lt;=0.5*10^(-I154)+1E-9,"matches","MISMATCH"),"pending")</f>
        <v/>
      </c>
      <c r="K154" s="7" t="inlineStr">
        <is>
          <t>Origins ≠ issued origins (7,720) ≠ matched targets</t>
        </is>
      </c>
      <c r="L154" s="7" t="inlineStr"/>
      <c r="M154" s="7" t="inlineStr"/>
    </row>
    <row r="155">
      <c r="A155" s="7" t="inlineStr">
        <is>
          <t>C-FC-20</t>
        </is>
      </c>
      <c r="B155" s="7" t="inlineStr">
        <is>
          <t>≈ 644 h of final-test recordings</t>
        </is>
      </c>
      <c r="C155" s="7" t="inlineStr">
        <is>
          <t>README.md §7; narration metric card</t>
        </is>
      </c>
      <c r="D155" s="7" t="inlineStr">
        <is>
          <t>Serving model, final test segment (later recordings of the same 14 people; retrospective, inspected)</t>
        </is>
      </c>
      <c r="E155" s="7" t="inlineStr">
        <is>
          <t>supported</t>
        </is>
      </c>
      <c r="F155" s="7" t="inlineStr">
        <is>
          <t>fus.seg.test.covered_hours</t>
        </is>
      </c>
      <c r="G155" s="8">
        <f>IF(AND(ISNUMBER(Sources!$C$111)),Sources!$C$111,"unavailable")</f>
        <v/>
      </c>
      <c r="H155" s="7" t="n">
        <v>644</v>
      </c>
      <c r="I155" s="7" t="n">
        <v>0</v>
      </c>
      <c r="J155" s="7">
        <f>IF(ISNUMBER(G155),IF(ABS(G155-H155)&lt;=0.5*10^(-I155)+1E-9,"matches","MISMATCH"),"pending")</f>
        <v/>
      </c>
      <c r="K155" s="7" t="inlineStr"/>
      <c r="L155" s="7" t="inlineStr"/>
      <c r="M155" s="7" t="inlineStr"/>
    </row>
    <row r="156">
      <c r="A156" s="7" t="inlineStr">
        <is>
          <t>C-WN-07</t>
        </is>
      </c>
      <c r="B156" s="7" t="inlineStr">
        <is>
          <t>Precision 0.60</t>
        </is>
      </c>
      <c r="C156" s="7" t="inlineStr">
        <is>
          <t>README.md §7</t>
        </is>
      </c>
      <c r="D156" s="7" t="inlineStr">
        <is>
          <t>Serving model, final test segment (later recordings of the same 14 people; retrospective, inspected)</t>
        </is>
      </c>
      <c r="E156" s="7" t="inlineStr">
        <is>
          <t>supported</t>
        </is>
      </c>
      <c r="F156" s="7" t="inlineStr">
        <is>
          <t>fus.ev.precision</t>
        </is>
      </c>
      <c r="G156" s="8">
        <f>IF(AND(ISNUMBER(Sources!$C$65)),Sources!$C$65,"unavailable")</f>
        <v/>
      </c>
      <c r="H156" s="7" t="n">
        <v>0.6</v>
      </c>
      <c r="I156" s="7" t="n">
        <v>2</v>
      </c>
      <c r="J156" s="7">
        <f>IF(ISNUMBER(G156),IF(ABS(G156-H156)&lt;=0.5*10^(-I156)+1E-9,"matches","MISMATCH"),"pending")</f>
        <v/>
      </c>
      <c r="K156" s="7" t="inlineStr"/>
      <c r="L156" s="7" t="inlineStr"/>
      <c r="M156" s="7" t="inlineStr"/>
    </row>
    <row r="157">
      <c r="A157" s="7" t="inlineStr">
        <is>
          <t>C-WN-08</t>
        </is>
      </c>
      <c r="B157" s="7" t="inlineStr">
        <is>
          <t>2.28 false alarms per eligible day</t>
        </is>
      </c>
      <c r="C157" s="7" t="inlineStr">
        <is>
          <t>README.md §7</t>
        </is>
      </c>
      <c r="D157" s="7" t="inlineStr">
        <is>
          <t>Serving model, final test segment (later recordings of the same 14 people; retrospective, inspected)</t>
        </is>
      </c>
      <c r="E157" s="7" t="inlineStr">
        <is>
          <t>supported</t>
        </is>
      </c>
      <c r="F157" s="7" t="inlineStr">
        <is>
          <t>fus.ev.false_alarm_episodes; fus.ev.eligible_patient_days</t>
        </is>
      </c>
      <c r="G157" s="8">
        <f>IF(AND(ISNUMBER(Sources!$C$64),ISNUMBER(Sources!$C$68)),Sources!$C$64/Sources!$C$68,"unavailable")</f>
        <v/>
      </c>
      <c r="H157" s="7" t="n">
        <v>2.28</v>
      </c>
      <c r="I157" s="7" t="n">
        <v>2</v>
      </c>
      <c r="J157" s="7">
        <f>IF(ISNUMBER(G157),IF(ABS(G157-H157)&lt;=0.5*10^(-I157)+1E-9,"matches","MISMATCH"),"pending")</f>
        <v/>
      </c>
      <c r="K157" s="7" t="inlineStr">
        <is>
          <t>Eligible patient-days differ from observed patient-days</t>
        </is>
      </c>
      <c r="L157" s="7" t="inlineStr"/>
      <c r="M157" s="7" t="inlineStr"/>
    </row>
    <row r="158">
      <c r="A158" s="7" t="inlineStr">
        <is>
          <t>C-WN-09</t>
        </is>
      </c>
      <c r="B158" s="7" t="inlineStr">
        <is>
          <t>48.4 % of all onsets warned at least 30 min ahead</t>
        </is>
      </c>
      <c r="C158" s="7" t="inlineStr">
        <is>
          <t>README.md (Results at a glance); reports/warning_utility.md; Deck s13; narration scene 6</t>
        </is>
      </c>
      <c r="D158" s="7" t="inlineStr">
        <is>
          <t>Serving model, final test segment (later recordings of the same 14 people; retrospective, inspected)</t>
        </is>
      </c>
      <c r="E158" s="7" t="inlineStr">
        <is>
          <t>supported</t>
        </is>
      </c>
      <c r="F158" s="7" t="inlineStr">
        <is>
          <t>wu.ge30; wu.onsets</t>
        </is>
      </c>
      <c r="G158" s="8">
        <f>IF(AND(ISNUMBER(Sources!$C$126),ISNUMBER(Sources!$C$123)),Sources!$C$126/Sources!$C$123*100,"unavailable")</f>
        <v/>
      </c>
      <c r="H158" s="7" t="n">
        <v>48.4</v>
      </c>
      <c r="I158" s="7" t="n">
        <v>1</v>
      </c>
      <c r="J158" s="7">
        <f>IF(ISNUMBER(G158),IF(ABS(G158-H158)&lt;=0.5*10^(-I158)+1E-9,"matches","MISMATCH"),"pending")</f>
        <v/>
      </c>
      <c r="K158" s="7" t="inlineStr">
        <is>
          <t>Denominator = all 64 eligible onsets (missed onsets count against it)</t>
        </is>
      </c>
      <c r="L158" s="7" t="inlineStr"/>
      <c r="M158" s="7" t="inlineStr"/>
    </row>
    <row r="159">
      <c r="A159" s="7" t="inlineStr">
        <is>
          <t>C-WN-10</t>
        </is>
      </c>
      <c r="B159" s="7" t="inlineStr">
        <is>
          <t>Warned ≥ 15 min ahead 67.2 % of all onsets</t>
        </is>
      </c>
      <c r="C159" s="7" t="inlineStr">
        <is>
          <t>reports/warning_utility.md</t>
        </is>
      </c>
      <c r="D159" s="7" t="inlineStr">
        <is>
          <t>Serving model, final test segment (later recordings of the same 14 people; retrospective, inspected)</t>
        </is>
      </c>
      <c r="E159" s="7" t="inlineStr">
        <is>
          <t>supported</t>
        </is>
      </c>
      <c r="F159" s="7" t="inlineStr">
        <is>
          <t>wu.ge15; wu.onsets</t>
        </is>
      </c>
      <c r="G159" s="8">
        <f>IF(AND(ISNUMBER(Sources!$C$125),ISNUMBER(Sources!$C$123)),Sources!$C$125/Sources!$C$123*100,"unavailable")</f>
        <v/>
      </c>
      <c r="H159" s="7" t="n">
        <v>67.2</v>
      </c>
      <c r="I159" s="7" t="n">
        <v>1</v>
      </c>
      <c r="J159" s="7">
        <f>IF(ISNUMBER(G159),IF(ABS(G159-H159)&lt;=0.5*10^(-I159)+1E-9,"matches","MISMATCH"),"pending")</f>
        <v/>
      </c>
      <c r="K159" s="7" t="inlineStr"/>
      <c r="L159" s="7" t="inlineStr"/>
      <c r="M159" s="7" t="inlineStr"/>
    </row>
    <row r="160">
      <c r="A160" s="7" t="inlineStr">
        <is>
          <t>C-WN-11</t>
        </is>
      </c>
      <c r="B160" s="7" t="inlineStr">
        <is>
          <t>Warned ≥ 60 min ahead 20.3 % of all onsets</t>
        </is>
      </c>
      <c r="C160" s="7" t="inlineStr">
        <is>
          <t>reports/warning_utility.md</t>
        </is>
      </c>
      <c r="D160" s="7" t="inlineStr">
        <is>
          <t>Serving model, final test segment (later recordings of the same 14 people; retrospective, inspected)</t>
        </is>
      </c>
      <c r="E160" s="7" t="inlineStr">
        <is>
          <t>supported</t>
        </is>
      </c>
      <c r="F160" s="7" t="inlineStr">
        <is>
          <t>wu.ge60; wu.onsets</t>
        </is>
      </c>
      <c r="G160" s="8">
        <f>IF(AND(ISNUMBER(Sources!$C$127),ISNUMBER(Sources!$C$123)),Sources!$C$127/Sources!$C$123*100,"unavailable")</f>
        <v/>
      </c>
      <c r="H160" s="7" t="n">
        <v>20.3</v>
      </c>
      <c r="I160" s="7" t="n">
        <v>1</v>
      </c>
      <c r="J160" s="7">
        <f>IF(ISNUMBER(G160),IF(ABS(G160-H160)&lt;=0.5*10^(-I160)+1E-9,"matches","MISMATCH"),"pending")</f>
        <v/>
      </c>
      <c r="K160" s="7" t="inlineStr"/>
      <c r="L160" s="7" t="inlineStr"/>
      <c r="M160" s="7" t="inlineStr"/>
    </row>
    <row r="161">
      <c r="A161" s="7" t="inlineStr">
        <is>
          <t>C-WN-12</t>
        </is>
      </c>
      <c r="B161" s="7" t="inlineStr">
        <is>
          <t>Qualified lead IQR 10–55 min (detected onsets)</t>
        </is>
      </c>
      <c r="C161" s="7" t="inlineStr">
        <is>
          <t>reports/warning_utility.md</t>
        </is>
      </c>
      <c r="D161" s="7" t="inlineStr">
        <is>
          <t>Serving model, final test segment (later recordings of the same 14 people; retrospective, inspected)</t>
        </is>
      </c>
      <c r="E161" s="7" t="inlineStr">
        <is>
          <t>supported</t>
        </is>
      </c>
      <c r="F161" s="7" t="inlineStr">
        <is>
          <t>wu.lead_q75; wu.lead_q25</t>
        </is>
      </c>
      <c r="G161" s="8">
        <f>IF(AND(ISNUMBER(Sources!$C$134)),Sources!$C$134,"unavailable")</f>
        <v/>
      </c>
      <c r="H161" s="7" t="n">
        <v>55</v>
      </c>
      <c r="I161" s="7" t="n">
        <v>0</v>
      </c>
      <c r="J161" s="7">
        <f>IF(ISNUMBER(G161),IF(ABS(G161-H161)&lt;=0.5*10^(-I161)+1E-9,"matches","MISMATCH"),"pending")</f>
        <v/>
      </c>
      <c r="K161" s="7" t="inlineStr"/>
      <c r="L161" s="7" t="inlineStr"/>
      <c r="M161" s="7" t="inlineStr"/>
    </row>
    <row r="162">
      <c r="A162" s="7" t="inlineStr">
        <is>
          <t>C-WN-13</t>
        </is>
      </c>
      <c r="B162" s="7" t="inlineStr">
        <is>
          <t>40 of 101 warning episodes were false alarms</t>
        </is>
      </c>
      <c r="C162" s="7" t="inlineStr">
        <is>
          <t>README (GIF caption)</t>
        </is>
      </c>
      <c r="D162" s="7" t="inlineStr">
        <is>
          <t>Serving model, final test segment (later recordings of the same 14 people; retrospective, inspected)</t>
        </is>
      </c>
      <c r="E162" s="7" t="inlineStr">
        <is>
          <t>supported</t>
        </is>
      </c>
      <c r="F162" s="7" t="inlineStr">
        <is>
          <t>fus.ev.warning_episodes</t>
        </is>
      </c>
      <c r="G162" s="8">
        <f>IF(AND(ISNUMBER(Sources!$C$63)),Sources!$C$63,"unavailable")</f>
        <v/>
      </c>
      <c r="H162" s="7" t="n">
        <v>101</v>
      </c>
      <c r="I162" s="7" t="n">
        <v>0</v>
      </c>
      <c r="J162" s="7">
        <f>IF(ISNUMBER(G162),IF(ABS(G162-H162)&lt;=0.5*10^(-I162)+1E-9,"matches","MISMATCH"),"pending")</f>
        <v/>
      </c>
      <c r="K162" s="7" t="inlineStr"/>
      <c r="L162" s="7" t="inlineStr"/>
      <c r="M162" s="7" t="inlineStr"/>
    </row>
    <row r="163">
      <c r="A163" s="7" t="inlineStr">
        <is>
          <t>C-WN-14</t>
        </is>
      </c>
      <c r="B163" s="7" t="inlineStr">
        <is>
          <t>Persistence-based warning: 63/64 detected with 70 false alarms (2.61 per observed day)</t>
        </is>
      </c>
      <c r="C163" s="7" t="inlineStr">
        <is>
          <t>README.md §7</t>
        </is>
      </c>
      <c r="D163" s="7" t="inlineStr">
        <is>
          <t>Serving model, final test segment (later recordings of the same 14 people; retrospective, inspected)</t>
        </is>
      </c>
      <c r="E163" s="7" t="inlineStr">
        <is>
          <t>supported</t>
        </is>
      </c>
      <c r="F163" s="7" t="inlineStr">
        <is>
          <t>fus.pev.false_alarms_per_observed_patient_day</t>
        </is>
      </c>
      <c r="G163" s="8">
        <f>IF(AND(ISNUMBER(Sources!$C$78)),Sources!$C$78,"unavailable")</f>
        <v/>
      </c>
      <c r="H163" s="7" t="n">
        <v>2.61</v>
      </c>
      <c r="I163" s="7" t="n">
        <v>2</v>
      </c>
      <c r="J163" s="7">
        <f>IF(ISNUMBER(G163),IF(ABS(G163-H163)&lt;=0.5*10^(-I163)+1E-9,"matches","MISMATCH"),"pending")</f>
        <v/>
      </c>
      <c r="K163" s="7" t="inlineStr"/>
      <c r="L163" s="7" t="inlineStr"/>
      <c r="M163" s="7" t="inlineStr"/>
    </row>
    <row r="164">
      <c r="A164" s="7" t="inlineStr">
        <is>
          <t>C-RG-05</t>
        </is>
      </c>
      <c r="B164" s="7" t="inlineStr">
        <is>
          <t>Ranges covered only 60–82 % (30 min) per participant (min)</t>
        </is>
      </c>
      <c r="C164" s="7" t="inlineStr">
        <is>
          <t>README.md §7</t>
        </is>
      </c>
      <c r="D164" s="7" t="inlineStr">
        <is>
          <t>Serving model, final test segment (later recordings of the same 14 people; retrospective, inspected)</t>
        </is>
      </c>
      <c r="E164" s="7" t="inlineStr">
        <is>
          <t>supported</t>
        </is>
      </c>
      <c r="F164" s="7" t="inlineStr">
        <is>
          <t>fus.iv.per_patient_min30</t>
        </is>
      </c>
      <c r="G164" s="8">
        <f>IF(AND(ISNUMBER(Sources!$C$82)),Sources!$C$82*100,"unavailable")</f>
        <v/>
      </c>
      <c r="H164" s="7" t="n">
        <v>60</v>
      </c>
      <c r="I164" s="7" t="n">
        <v>0</v>
      </c>
      <c r="J164" s="7">
        <f>IF(ISNUMBER(G164),IF(ABS(G164-H164)&lt;=0.5*10^(-I164)+1E-9,"matches","MISMATCH"),"pending")</f>
        <v/>
      </c>
      <c r="K164" s="7" t="inlineStr"/>
      <c r="L164" s="7" t="inlineStr"/>
      <c r="M164" s="7" t="inlineStr"/>
    </row>
    <row r="165">
      <c r="A165" s="7" t="inlineStr">
        <is>
          <t>C-RG-06</t>
        </is>
      </c>
      <c r="B165" s="7" t="inlineStr">
        <is>
          <t>Ranges per participant 30-min max 82 %</t>
        </is>
      </c>
      <c r="C165" s="7" t="inlineStr">
        <is>
          <t>README.md §7</t>
        </is>
      </c>
      <c r="D165" s="7" t="inlineStr">
        <is>
          <t>Serving model, final test segment (later recordings of the same 14 people; retrospective, inspected)</t>
        </is>
      </c>
      <c r="E165" s="7" t="inlineStr">
        <is>
          <t>supported</t>
        </is>
      </c>
      <c r="F165" s="7" t="inlineStr">
        <is>
          <t>fus.iv.per_patient_max30</t>
        </is>
      </c>
      <c r="G165" s="8">
        <f>IF(AND(ISNUMBER(Sources!$C$83)),Sources!$C$83*100,"unavailable")</f>
        <v/>
      </c>
      <c r="H165" s="7" t="n">
        <v>82</v>
      </c>
      <c r="I165" s="7" t="n">
        <v>0</v>
      </c>
      <c r="J165" s="7">
        <f>IF(ISNUMBER(G165),IF(ABS(G165-H165)&lt;=0.5*10^(-I165)+1E-9,"matches","MISMATCH"),"pending")</f>
        <v/>
      </c>
      <c r="K165" s="7" t="inlineStr"/>
      <c r="L165" s="7" t="inlineStr"/>
      <c r="M165" s="7" t="inlineStr"/>
    </row>
    <row r="166">
      <c r="A166" s="7" t="inlineStr">
        <is>
          <t>C-RG-07</t>
        </is>
      </c>
      <c r="B166" s="7" t="inlineStr">
        <is>
          <t>Ranges per participant 60-min 51–88 % (min)</t>
        </is>
      </c>
      <c r="C166" s="7" t="inlineStr">
        <is>
          <t>README.md §7</t>
        </is>
      </c>
      <c r="D166" s="7" t="inlineStr">
        <is>
          <t>Serving model, final test segment (later recordings of the same 14 people; retrospective, inspected)</t>
        </is>
      </c>
      <c r="E166" s="7" t="inlineStr">
        <is>
          <t>supported</t>
        </is>
      </c>
      <c r="F166" s="7" t="inlineStr">
        <is>
          <t>fus.iv.per_patient_min60</t>
        </is>
      </c>
      <c r="G166" s="8">
        <f>IF(AND(ISNUMBER(Sources!$C$88)),Sources!$C$88*100,"unavailable")</f>
        <v/>
      </c>
      <c r="H166" s="7" t="n">
        <v>51</v>
      </c>
      <c r="I166" s="7" t="n">
        <v>0</v>
      </c>
      <c r="J166" s="7">
        <f>IF(ISNUMBER(G166),IF(ABS(G166-H166)&lt;=0.5*10^(-I166)+1E-9,"matches","MISMATCH"),"pending")</f>
        <v/>
      </c>
      <c r="K166" s="7" t="inlineStr"/>
      <c r="L166" s="7" t="inlineStr"/>
      <c r="M166" s="7" t="inlineStr"/>
    </row>
    <row r="167">
      <c r="A167" s="7" t="inlineStr">
        <is>
          <t>C-RG-08</t>
        </is>
      </c>
      <c r="B167" s="7" t="inlineStr">
        <is>
          <t>Ranges per participant 60-min max 88 %</t>
        </is>
      </c>
      <c r="C167" s="7" t="inlineStr">
        <is>
          <t>README.md §7</t>
        </is>
      </c>
      <c r="D167" s="7" t="inlineStr">
        <is>
          <t>Serving model, final test segment (later recordings of the same 14 people; retrospective, inspected)</t>
        </is>
      </c>
      <c r="E167" s="7" t="inlineStr">
        <is>
          <t>supported</t>
        </is>
      </c>
      <c r="F167" s="7" t="inlineStr">
        <is>
          <t>fus.iv.per_patient_max60</t>
        </is>
      </c>
      <c r="G167" s="8">
        <f>IF(AND(ISNUMBER(Sources!$C$89)),Sources!$C$89*100,"unavailable")</f>
        <v/>
      </c>
      <c r="H167" s="7" t="n">
        <v>88</v>
      </c>
      <c r="I167" s="7" t="n">
        <v>0</v>
      </c>
      <c r="J167" s="7">
        <f>IF(ISNUMBER(G167),IF(ABS(G167-H167)&lt;=0.5*10^(-I167)+1E-9,"matches","MISMATCH"),"pending")</f>
        <v/>
      </c>
      <c r="K167" s="7" t="inlineStr"/>
      <c r="L167" s="7" t="inlineStr"/>
      <c r="M167" s="7" t="inlineStr"/>
    </row>
    <row r="168">
      <c r="A168" s="7" t="inlineStr">
        <is>
          <t>C-RG-09</t>
        </is>
      </c>
      <c r="B168" s="7" t="inlineStr">
        <is>
          <t>While glucose rose (&gt; 1 mg/dL/min) served ranges covered 51.6 % at 60 min on test</t>
        </is>
      </c>
      <c r="C168" s="7" t="inlineStr">
        <is>
          <t>docs/decisions.md D-050</t>
        </is>
      </c>
      <c r="D168" s="7" t="inlineStr">
        <is>
          <t>Serving model, final test segment (later recordings of the same 14 people; retrospective, inspected)</t>
        </is>
      </c>
      <c r="E168" s="7" t="inlineStr">
        <is>
          <t>supported</t>
        </is>
      </c>
      <c r="F168" s="7" t="inlineStr">
        <is>
          <t>rg.inc.rising60</t>
        </is>
      </c>
      <c r="G168" s="8">
        <f>IF(AND(ISNUMBER(Sources!$C$334)),Sources!$C$334*100,"unavailable")</f>
        <v/>
      </c>
      <c r="H168" s="7" t="n">
        <v>51.6</v>
      </c>
      <c r="I168" s="7" t="n">
        <v>1</v>
      </c>
      <c r="J168" s="7">
        <f>IF(ISNUMBER(G168),IF(ABS(G168-H168)&lt;=0.5*10^(-I168)+1E-9,"matches","MISMATCH"),"pending")</f>
        <v/>
      </c>
      <c r="K168" s="7" t="inlineStr">
        <is>
          <t>Final-test trend context (read once in D-050)</t>
        </is>
      </c>
      <c r="L168" s="7" t="inlineStr"/>
      <c r="M168" s="7" t="inlineStr"/>
    </row>
    <row r="169">
      <c r="A169" s="7" t="inlineStr">
        <is>
          <t>C-TR-01</t>
        </is>
      </c>
      <c r="B169" s="7" t="inlineStr">
        <is>
          <t>Validation: 60-min error 35.3 mg/dL while glucose rose &gt; 2 mg/dL/min</t>
        </is>
      </c>
      <c r="C169" s="7" t="inlineStr">
        <is>
          <t>README §5; narration scene 15</t>
        </is>
      </c>
      <c r="D169" s="7" t="inlineStr">
        <is>
          <t>Serving model, validation segment</t>
        </is>
      </c>
      <c r="E169" s="7" t="inlineStr">
        <is>
          <t>supported</t>
        </is>
      </c>
      <c r="F169" s="7" t="inlineStr">
        <is>
          <t>tr.rising_fast.mae60</t>
        </is>
      </c>
      <c r="G169" s="8">
        <f>IF(AND(ISNUMBER(Sources!$C$169)),Sources!$C$169,"unavailable")</f>
        <v/>
      </c>
      <c r="H169" s="7" t="n">
        <v>35.3</v>
      </c>
      <c r="I169" s="7" t="n">
        <v>1</v>
      </c>
      <c r="J169" s="7">
        <f>IF(ISNUMBER(G169),IF(ABS(G169-H169)&lt;=0.5*10^(-I169)+1E-9,"matches","MISMATCH"),"pending")</f>
        <v/>
      </c>
      <c r="K169" s="7" t="inlineStr">
        <is>
          <t>Validation segment, not the test</t>
        </is>
      </c>
      <c r="L169" s="7" t="inlineStr"/>
      <c r="M169" s="7" t="inlineStr"/>
    </row>
    <row r="170">
      <c r="A170" s="7" t="inlineStr">
        <is>
          <t>C-TR-02</t>
        </is>
      </c>
      <c r="B170" s="7" t="inlineStr">
        <is>
          <t>Validation: 60-min error 19.5 when steady</t>
        </is>
      </c>
      <c r="C170" s="7" t="inlineStr">
        <is>
          <t>README §5; narration scene 15</t>
        </is>
      </c>
      <c r="D170" s="7" t="inlineStr">
        <is>
          <t>Serving model, validation segment</t>
        </is>
      </c>
      <c r="E170" s="7" t="inlineStr">
        <is>
          <t>supported</t>
        </is>
      </c>
      <c r="F170" s="7" t="inlineStr">
        <is>
          <t>tr.steady.mae60</t>
        </is>
      </c>
      <c r="G170" s="8">
        <f>IF(AND(ISNUMBER(Sources!$C$163)),Sources!$C$163,"unavailable")</f>
        <v/>
      </c>
      <c r="H170" s="7" t="n">
        <v>19.5</v>
      </c>
      <c r="I170" s="7" t="n">
        <v>1</v>
      </c>
      <c r="J170" s="7">
        <f>IF(ISNUMBER(G170),IF(ABS(G170-H170)&lt;=0.5*10^(-I170)+1E-9,"matches","MISMATCH"),"pending")</f>
        <v/>
      </c>
      <c r="K170" s="7" t="inlineStr"/>
      <c r="L170" s="7" t="inlineStr"/>
      <c r="M170" s="7" t="inlineStr"/>
    </row>
    <row r="171">
      <c r="A171" s="7" t="inlineStr">
        <is>
          <t>C-TR-03</t>
        </is>
      </c>
      <c r="B171" s="7" t="inlineStr">
        <is>
          <t>Peaks above 180 under-forecast by 16.9 mg/dL at 60 min (validation)</t>
        </is>
      </c>
      <c r="C171" s="7" t="inlineStr">
        <is>
          <t>README §5; narration scene 15</t>
        </is>
      </c>
      <c r="D171" s="7" t="inlineStr">
        <is>
          <t>Serving model, validation segment</t>
        </is>
      </c>
      <c r="E171" s="7" t="inlineStr">
        <is>
          <t>supported</t>
        </is>
      </c>
      <c r="F171" s="7" t="inlineStr">
        <is>
          <t>tr.bias_high60</t>
        </is>
      </c>
      <c r="G171" s="8">
        <f>IF(AND(ISNUMBER(Sources!$C$172)),-Sources!$C$172,"unavailable")</f>
        <v/>
      </c>
      <c r="H171" s="7" t="n">
        <v>16.9</v>
      </c>
      <c r="I171" s="7" t="n">
        <v>1</v>
      </c>
      <c r="J171" s="7">
        <f>IF(ISNUMBER(G171),IF(ABS(G171-H171)&lt;=0.5*10^(-I171)+1E-9,"matches","MISMATCH"),"pending")</f>
        <v/>
      </c>
      <c r="K171" s="7" t="inlineStr"/>
      <c r="L171" s="7" t="inlineStr"/>
      <c r="M171" s="7" t="inlineStr"/>
    </row>
    <row r="172">
      <c r="A172" s="7" t="inlineStr">
        <is>
          <t>C-EX-06</t>
        </is>
      </c>
      <c r="B172" s="7" t="inlineStr">
        <is>
          <t>External 30-min difference −0.99 [−1.21, −0.77], better for 80 of 98</t>
        </is>
      </c>
      <c r="C172" s="7" t="inlineStr">
        <is>
          <t>README.md §7</t>
        </is>
      </c>
      <c r="D172" s="7" t="inlineStr">
        <is>
          <t>External ShanghaiT2DM, 98 people, CGM-only procedure (not the serving fusion model)</t>
        </is>
      </c>
      <c r="E172" s="7" t="inlineStr">
        <is>
          <t>supported</t>
        </is>
      </c>
      <c r="F172" s="7" t="inlineStr">
        <is>
          <t>ext.cmp.mean_diff30</t>
        </is>
      </c>
      <c r="G172" s="8">
        <f>IF(AND(ISNUMBER(Sources!$C$203)),Sources!$C$203,"unavailable")</f>
        <v/>
      </c>
      <c r="H172" s="7" t="n">
        <v>-0.99</v>
      </c>
      <c r="I172" s="7" t="n">
        <v>2</v>
      </c>
      <c r="J172" s="7">
        <f>IF(ISNUMBER(G172),IF(ABS(G172-H172)&lt;=0.5*10^(-I172)+1E-9,"matches","MISMATCH"),"pending")</f>
        <v/>
      </c>
      <c r="K172" s="7" t="inlineStr"/>
      <c r="L172" s="7" t="inlineStr"/>
      <c r="M172" s="7" t="inlineStr"/>
    </row>
    <row r="173">
      <c r="A173" s="7" t="inlineStr">
        <is>
          <t>C-EX-07</t>
        </is>
      </c>
      <c r="B173" s="7" t="inlineStr">
        <is>
          <t>External better for 80 of 98 at 30 min</t>
        </is>
      </c>
      <c r="C173" s="7" t="inlineStr">
        <is>
          <t>README.md §7</t>
        </is>
      </c>
      <c r="D173" s="7" t="inlineStr">
        <is>
          <t>External ShanghaiT2DM, 98 people, CGM-only procedure (not the serving fusion model)</t>
        </is>
      </c>
      <c r="E173" s="7" t="inlineStr">
        <is>
          <t>supported</t>
        </is>
      </c>
      <c r="F173" s="7" t="inlineStr">
        <is>
          <t>ext.cmp.improved30</t>
        </is>
      </c>
      <c r="G173" s="8">
        <f>IF(AND(ISNUMBER(Sources!$C$206)),Sources!$C$206,"unavailable")</f>
        <v/>
      </c>
      <c r="H173" s="7" t="n">
        <v>80</v>
      </c>
      <c r="I173" s="7" t="n">
        <v>0</v>
      </c>
      <c r="J173" s="7">
        <f>IF(ISNUMBER(G173),IF(ABS(G173-H173)&lt;=0.5*10^(-I173)+1E-9,"matches","MISMATCH"),"pending")</f>
        <v/>
      </c>
      <c r="K173" s="7" t="inlineStr"/>
      <c r="L173" s="7" t="inlineStr"/>
      <c r="M173" s="7" t="inlineStr"/>
    </row>
    <row r="174">
      <c r="A174" s="7" t="inlineStr">
        <is>
          <t>C-EX-08</t>
        </is>
      </c>
      <c r="B174" s="7" t="inlineStr">
        <is>
          <t>External 60-min difference −0.34 [−0.76, +0.10]: inconclusive</t>
        </is>
      </c>
      <c r="C174" s="7" t="inlineStr">
        <is>
          <t>README.md §7</t>
        </is>
      </c>
      <c r="D174" s="7" t="inlineStr">
        <is>
          <t>External ShanghaiT2DM, 98 people, CGM-only procedure (not the serving fusion model)</t>
        </is>
      </c>
      <c r="E174" s="7" t="inlineStr">
        <is>
          <t>negative-result</t>
        </is>
      </c>
      <c r="F174" s="7" t="inlineStr">
        <is>
          <t>ext.cmp.mean_diff60</t>
        </is>
      </c>
      <c r="G174" s="8">
        <f>IF(AND(ISNUMBER(Sources!$C$215)),Sources!$C$215,"unavailable")</f>
        <v/>
      </c>
      <c r="H174" s="7" t="n">
        <v>-0.34</v>
      </c>
      <c r="I174" s="7" t="n">
        <v>2</v>
      </c>
      <c r="J174" s="7">
        <f>IF(ISNUMBER(G174),IF(ABS(G174-H174)&lt;=0.5*10^(-I174)+1E-9,"matches","MISMATCH"),"pending")</f>
        <v/>
      </c>
      <c r="K174" s="7" t="inlineStr"/>
      <c r="L174" s="7" t="inlineStr"/>
      <c r="M174" s="7" t="inlineStr"/>
    </row>
    <row r="175">
      <c r="A175" s="7" t="inlineStr">
        <is>
          <t>C-EX-09</t>
        </is>
      </c>
      <c r="B175" s="7" t="inlineStr">
        <is>
          <t>External ranges covered 87.1 % / 86.1 % (30 min)</t>
        </is>
      </c>
      <c r="C175" s="7" t="inlineStr">
        <is>
          <t>README.md §7</t>
        </is>
      </c>
      <c r="D175" s="7" t="inlineStr">
        <is>
          <t>External ShanghaiT2DM, 98 people, CGM-only procedure (not the serving fusion model)</t>
        </is>
      </c>
      <c r="E175" s="7" t="inlineStr">
        <is>
          <t>supported</t>
        </is>
      </c>
      <c r="F175" s="7" t="inlineStr">
        <is>
          <t>ext.cov30</t>
        </is>
      </c>
      <c r="G175" s="8">
        <f>IF(AND(ISNUMBER(Sources!$C$208)),Sources!$C$208*100,"unavailable")</f>
        <v/>
      </c>
      <c r="H175" s="7" t="n">
        <v>87.09999999999999</v>
      </c>
      <c r="I175" s="7" t="n">
        <v>1</v>
      </c>
      <c r="J175" s="7">
        <f>IF(ISNUMBER(G175),IF(ABS(G175-H175)&lt;=0.5*10^(-I175)+1E-9,"matches","MISMATCH"),"pending")</f>
        <v/>
      </c>
      <c r="K175" s="7" t="inlineStr"/>
      <c r="L175" s="7" t="inlineStr"/>
      <c r="M175" s="7" t="inlineStr"/>
    </row>
    <row r="176">
      <c r="A176" s="7" t="inlineStr">
        <is>
          <t>C-EX-10</t>
        </is>
      </c>
      <c r="B176" s="7" t="inlineStr">
        <is>
          <t>External ranges 86.1 % at 60 min</t>
        </is>
      </c>
      <c r="C176" s="7" t="inlineStr">
        <is>
          <t>README.md §7</t>
        </is>
      </c>
      <c r="D176" s="7" t="inlineStr">
        <is>
          <t>External ShanghaiT2DM, 98 people, CGM-only procedure (not the serving fusion model)</t>
        </is>
      </c>
      <c r="E176" s="7" t="inlineStr">
        <is>
          <t>supported</t>
        </is>
      </c>
      <c r="F176" s="7" t="inlineStr">
        <is>
          <t>ext.cov60</t>
        </is>
      </c>
      <c r="G176" s="8">
        <f>IF(AND(ISNUMBER(Sources!$C$220)),Sources!$C$220*100,"unavailable")</f>
        <v/>
      </c>
      <c r="H176" s="7" t="n">
        <v>86.09999999999999</v>
      </c>
      <c r="I176" s="7" t="n">
        <v>1</v>
      </c>
      <c r="J176" s="7">
        <f>IF(ISNUMBER(G176),IF(ABS(G176-H176)&lt;=0.5*10^(-I176)+1E-9,"matches","MISMATCH"),"pending")</f>
        <v/>
      </c>
      <c r="K176" s="7" t="inlineStr"/>
      <c r="L176" s="7" t="inlineStr"/>
      <c r="M176" s="7" t="inlineStr"/>
    </row>
    <row r="177">
      <c r="A177" s="7" t="inlineStr">
        <is>
          <t>C-NS-06</t>
        </is>
      </c>
      <c r="B177" s="7" t="inlineStr">
        <is>
          <t>v2 recipe refit per fold 14.52 / 24.25 (30 min)</t>
        </is>
      </c>
      <c r="C177" s="7" t="inlineStr">
        <is>
          <t>README.md §7</t>
        </is>
      </c>
      <c r="D177" s="7" t="inlineStr">
        <is>
          <t>Participant-held-out internal (14 CGMacros people, each held out once; previously inspected)</t>
        </is>
      </c>
      <c r="E177" s="7" t="inlineStr">
        <is>
          <t>supported</t>
        </is>
      </c>
      <c r="F177" s="7" t="inlineStr">
        <is>
          <t>nest.v2.mae30</t>
        </is>
      </c>
      <c r="G177" s="8">
        <f>IF(AND(ISNUMBER(Sources!$C$195)),Sources!$C$195,"unavailable")</f>
        <v/>
      </c>
      <c r="H177" s="7" t="n">
        <v>14.52</v>
      </c>
      <c r="I177" s="7" t="n">
        <v>2</v>
      </c>
      <c r="J177" s="7">
        <f>IF(ISNUMBER(G177),IF(ABS(G177-H177)&lt;=0.5*10^(-I177)+1E-9,"matches","MISMATCH"),"pending")</f>
        <v/>
      </c>
      <c r="K177" s="7" t="inlineStr"/>
      <c r="L177" s="7" t="inlineStr"/>
      <c r="M177" s="7" t="inlineStr"/>
    </row>
    <row r="178">
      <c r="A178" s="7" t="inlineStr">
        <is>
          <t>C-NS-07</t>
        </is>
      </c>
      <c r="B178" s="7" t="inlineStr">
        <is>
          <t>v2 recipe refit per fold 24.25 at 60 min</t>
        </is>
      </c>
      <c r="C178" s="7" t="inlineStr">
        <is>
          <t>README.md §7</t>
        </is>
      </c>
      <c r="D178" s="7" t="inlineStr">
        <is>
          <t>Participant-held-out internal (14 CGMacros people, each held out once; previously inspected)</t>
        </is>
      </c>
      <c r="E178" s="7" t="inlineStr">
        <is>
          <t>supported</t>
        </is>
      </c>
      <c r="F178" s="7" t="inlineStr">
        <is>
          <t>nest.v2.mae60</t>
        </is>
      </c>
      <c r="G178" s="8">
        <f>IF(AND(ISNUMBER(Sources!$C$196)),Sources!$C$196,"unavailable")</f>
        <v/>
      </c>
      <c r="H178" s="7" t="n">
        <v>24.25</v>
      </c>
      <c r="I178" s="7" t="n">
        <v>2</v>
      </c>
      <c r="J178" s="7">
        <f>IF(ISNUMBER(G178),IF(ABS(G178-H178)&lt;=0.5*10^(-I178)+1E-9,"matches","MISMATCH"),"pending")</f>
        <v/>
      </c>
      <c r="K178" s="7" t="inlineStr"/>
      <c r="L178" s="7" t="inlineStr"/>
      <c r="M178" s="7" t="inlineStr"/>
    </row>
    <row r="179">
      <c r="A179" s="7" t="inlineStr">
        <is>
          <t>C-2H-12</t>
        </is>
      </c>
      <c r="B179" s="7" t="inlineStr">
        <is>
          <t>Two-hour selected minus persistence −5.25 [−6.44, −4.05]</t>
        </is>
      </c>
      <c r="C179" s="7" t="inlineStr">
        <is>
          <t>docs/evidence_checklist_2026-10-20.md</t>
        </is>
      </c>
      <c r="D179" s="7" t="inlineStr">
        <is>
          <t>Participant-held-out internal (14 CGMacros people, each held out once; previously inspected)</t>
        </is>
      </c>
      <c r="E179" s="7" t="inlineStr">
        <is>
          <t>supported</t>
        </is>
      </c>
      <c r="F179" s="7" t="inlineStr">
        <is>
          <t>2h.cmp.d</t>
        </is>
      </c>
      <c r="G179" s="8">
        <f>IF(AND(ISNUMBER(Sources!$C$230)),Sources!$C$230,"unavailable")</f>
        <v/>
      </c>
      <c r="H179" s="7" t="n">
        <v>-5.25</v>
      </c>
      <c r="I179" s="7" t="n">
        <v>2</v>
      </c>
      <c r="J179" s="7">
        <f>IF(ISNUMBER(G179),IF(ABS(G179-H179)&lt;=0.5*10^(-I179)+1E-9,"matches","MISMATCH"),"pending")</f>
        <v/>
      </c>
      <c r="K179" s="7" t="inlineStr"/>
      <c r="L179" s="7" t="inlineStr"/>
      <c r="M179" s="7" t="inlineStr"/>
    </row>
    <row r="180">
      <c r="A180" s="7" t="inlineStr">
        <is>
          <t>C-GD-01</t>
        </is>
      </c>
      <c r="B180" s="7" t="inlineStr">
        <is>
          <t>No forecast is issued with less than 60 min of history (abstains)</t>
        </is>
      </c>
      <c r="C180" s="7" t="inlineStr">
        <is>
          <t>README Safety guardrails; Deck s10</t>
        </is>
      </c>
      <c r="D180" s="7" t="inlineStr">
        <is>
          <t>Serving software</t>
        </is>
      </c>
      <c r="E180" s="7" t="inlineStr">
        <is>
          <t>tested</t>
        </is>
      </c>
      <c r="F180" s="7" t="inlineStr">
        <is>
          <t>tests.test_replay_api::test_insufficient_history_abstains_with_nulls</t>
        </is>
      </c>
      <c r="G180" s="7" t="inlineStr">
        <is>
          <t>—</t>
        </is>
      </c>
      <c r="H180" s="7" t="inlineStr">
        <is>
          <t>—</t>
        </is>
      </c>
      <c r="I180" s="7" t="n"/>
      <c r="J180" s="7" t="inlineStr">
        <is>
          <t>—</t>
        </is>
      </c>
      <c r="K180" s="7" t="inlineStr"/>
      <c r="L180" s="7" t="inlineStr"/>
      <c r="M180" s="7" t="inlineStr"/>
    </row>
    <row r="181">
      <c r="A181" s="7" t="inlineStr">
        <is>
          <t>C-GD-02</t>
        </is>
      </c>
      <c r="B181" s="7" t="inlineStr">
        <is>
          <t>After 15 min without a reading the last forecast is shown marked Stale</t>
        </is>
      </c>
      <c r="C181" s="7" t="inlineStr">
        <is>
          <t>README Safety guardrails; Deck s10</t>
        </is>
      </c>
      <c r="D181" s="7" t="inlineStr">
        <is>
          <t>Serving software</t>
        </is>
      </c>
      <c r="E181" s="7" t="inlineStr">
        <is>
          <t>tested</t>
        </is>
      </c>
      <c r="F181" s="7" t="inlineStr">
        <is>
          <t>cfg.stale; e2e: Participant 12: stale glucose before the gap closes, then abstention</t>
        </is>
      </c>
      <c r="G181" s="8">
        <f>IF(AND(ISNUMBER(Sources!$C$488)),Sources!$C$488,"unavailable")</f>
        <v/>
      </c>
      <c r="H181" s="7" t="n">
        <v>15</v>
      </c>
      <c r="I181" s="7" t="n">
        <v>0</v>
      </c>
      <c r="J181" s="7">
        <f>IF(ISNUMBER(G181),IF(ABS(G181-H181)&lt;=0.5*10^(-I181)+1E-9,"matches","MISMATCH"),"pending")</f>
        <v/>
      </c>
      <c r="K181" s="7" t="inlineStr"/>
      <c r="L181" s="7" t="inlineStr"/>
      <c r="M181" s="7" t="inlineStr"/>
    </row>
    <row r="182">
      <c r="A182" s="7" t="inlineStr">
        <is>
          <t>C-GD-03</t>
        </is>
      </c>
      <c r="B182" s="7" t="inlineStr">
        <is>
          <t>Correction needs ≥ 6 matured outcomes, capped at ±25 mg/dL, resets after a 3-hour gap</t>
        </is>
      </c>
      <c r="C182" s="7" t="inlineStr">
        <is>
          <t>README Safety guardrails; Deck s10</t>
        </is>
      </c>
      <c r="D182" s="7" t="inlineStr">
        <is>
          <t>Serving software</t>
        </is>
      </c>
      <c r="E182" s="7" t="inlineStr">
        <is>
          <t>tested</t>
        </is>
      </c>
      <c r="F182" s="7" t="inlineStr">
        <is>
          <t>cfg.reset_gap; tests.test_replay_api::test_personalization_reports_its_bound_and_reset_gap</t>
        </is>
      </c>
      <c r="G182" s="8">
        <f>IF(AND(ISNUMBER(Sources!$C$490)),Sources!$C$490/60,"unavailable")</f>
        <v/>
      </c>
      <c r="H182" s="7" t="n">
        <v>3</v>
      </c>
      <c r="I182" s="7" t="n">
        <v>0</v>
      </c>
      <c r="J182" s="7">
        <f>IF(ISNUMBER(G182),IF(ABS(G182-H182)&lt;=0.5*10^(-I182)+1E-9,"matches","MISMATCH"),"pending")</f>
        <v/>
      </c>
      <c r="K182" s="7" t="inlineStr"/>
      <c r="L182" s="7" t="inlineStr"/>
      <c r="M182" s="7" t="inlineStr"/>
    </row>
    <row r="183">
      <c r="A183" s="7" t="inlineStr">
        <is>
          <t>C-GD-04</t>
        </is>
      </c>
      <c r="B183" s="7" t="inlineStr">
        <is>
          <t>Every warning is labelled Research warning and stays Outcome pending until it can be judged</t>
        </is>
      </c>
      <c r="C183" s="7" t="inlineStr">
        <is>
          <t>README Safety guardrails; Deck s10</t>
        </is>
      </c>
      <c r="D183" s="7" t="inlineStr">
        <is>
          <t>Serving software</t>
        </is>
      </c>
      <c r="E183" s="7" t="inlineStr">
        <is>
          <t>tested</t>
        </is>
      </c>
      <c r="F183" s="7" t="inlineStr">
        <is>
          <t>e2e: Participant 01: a warning is pending until its outcome is knowable</t>
        </is>
      </c>
      <c r="G183" s="7" t="inlineStr">
        <is>
          <t>—</t>
        </is>
      </c>
      <c r="H183" s="7" t="inlineStr">
        <is>
          <t>—</t>
        </is>
      </c>
      <c r="I183" s="7" t="n"/>
      <c r="J183" s="7" t="inlineStr">
        <is>
          <t>—</t>
        </is>
      </c>
      <c r="K183" s="7" t="inlineStr"/>
      <c r="L183" s="7" t="inlineStr"/>
      <c r="M183" s="7" t="inlineStr"/>
    </row>
    <row r="184">
      <c r="A184" s="7" t="inlineStr">
        <is>
          <t>C-GD-05</t>
        </is>
      </c>
      <c r="B184" s="7" t="inlineStr">
        <is>
          <t>Opened tests write a lock file; re-running needs a written reason</t>
        </is>
      </c>
      <c r="C184" s="7" t="inlineStr">
        <is>
          <t>README Safety guardrails; Deck s10</t>
        </is>
      </c>
      <c r="D184" s="7" t="inlineStr">
        <is>
          <t>Research software</t>
        </is>
      </c>
      <c r="E184" s="7" t="inlineStr">
        <is>
          <t>tested</t>
        </is>
      </c>
      <c r="F184" s="7" t="inlineStr">
        <is>
          <t>tests.test_research_pipeline::test_editing_a_frozen_protocol_is_refused</t>
        </is>
      </c>
      <c r="G184" s="7" t="inlineStr">
        <is>
          <t>—</t>
        </is>
      </c>
      <c r="H184" s="7" t="inlineStr">
        <is>
          <t>—</t>
        </is>
      </c>
      <c r="I184" s="7" t="n"/>
      <c r="J184" s="7" t="inlineStr">
        <is>
          <t>—</t>
        </is>
      </c>
      <c r="K184" s="7" t="inlineStr"/>
      <c r="L184" s="7" t="inlineStr"/>
      <c r="M184" s="7" t="inlineStr"/>
    </row>
    <row r="185">
      <c r="A185" s="7" t="inlineStr">
        <is>
          <t>C-GD-06</t>
        </is>
      </c>
      <c r="B185" s="7" t="inlineStr">
        <is>
          <t>Event = new episode above 180 mg/dL sustained ≥ 15 minutes</t>
        </is>
      </c>
      <c r="C185" s="7" t="inlineStr">
        <is>
          <t>README §4</t>
        </is>
      </c>
      <c r="D185" s="7" t="inlineStr">
        <is>
          <t>Event definition</t>
        </is>
      </c>
      <c r="E185" s="7" t="inlineStr">
        <is>
          <t>implemented</t>
        </is>
      </c>
      <c r="F185" s="7" t="inlineStr">
        <is>
          <t>cfg.threshold; cfg.confirm; tests.test_events::test_exact_cutoff_is_not_high</t>
        </is>
      </c>
      <c r="G185" s="8">
        <f>IF(AND(ISNUMBER(Sources!$C$486)),Sources!$C$486,"unavailable")</f>
        <v/>
      </c>
      <c r="H185" s="7" t="n">
        <v>180</v>
      </c>
      <c r="I185" s="7" t="n">
        <v>0</v>
      </c>
      <c r="J185" s="7">
        <f>IF(ISNUMBER(G185),IF(ABS(G185-H185)&lt;=0.5*10^(-I185)+1E-9,"matches","MISMATCH"),"pending")</f>
        <v/>
      </c>
      <c r="K185" s="7" t="inlineStr"/>
      <c r="L185" s="7" t="inlineStr"/>
      <c r="M185" s="7" t="inlineStr"/>
    </row>
    <row r="186">
      <c r="A186" s="7" t="inlineStr">
        <is>
          <t>C-AU-01</t>
        </is>
      </c>
      <c r="B186" s="7" t="inlineStr">
        <is>
          <t>CI green on both branches</t>
        </is>
      </c>
      <c r="C186" s="7" t="inlineStr">
        <is>
          <t>context.md (handoff)</t>
        </is>
      </c>
      <c r="D186" s="7" t="inlineStr">
        <is>
          <t>CI</t>
        </is>
      </c>
      <c r="E186" s="7" t="inlineStr">
        <is>
          <t>author-reported</t>
        </is>
      </c>
      <c r="F186" s="7" t="inlineStr"/>
      <c r="G186" s="7" t="inlineStr">
        <is>
          <t>—</t>
        </is>
      </c>
      <c r="H186" s="7" t="inlineStr">
        <is>
          <t>—</t>
        </is>
      </c>
      <c r="I186" s="7" t="n"/>
      <c r="J186" s="7" t="inlineStr">
        <is>
          <t>—</t>
        </is>
      </c>
      <c r="K186" s="7" t="inlineStr">
        <is>
          <t>No saved CI log in the repository</t>
        </is>
      </c>
      <c r="L186" s="7" t="inlineStr">
        <is>
          <t>Link the GitHub Actions run after the repository is public</t>
        </is>
      </c>
      <c r="M186" s="7" t="inlineStr"/>
    </row>
    <row r="187">
      <c r="A187" s="7" t="inlineStr">
        <is>
          <t>C-AU-02</t>
        </is>
      </c>
      <c r="B187" s="7" t="inlineStr">
        <is>
          <t>Fresh-clone checks on 23 Oct: pytest pass, vitest 141/141, e2e 16 passed / 13 skipped (synthetic)</t>
        </is>
      </c>
      <c r="C187" s="7" t="inlineStr">
        <is>
          <t>Team handoff (23 Oct)</t>
        </is>
      </c>
      <c r="D187" s="7" t="inlineStr">
        <is>
          <t>Fresh clone, synthetic data</t>
        </is>
      </c>
      <c r="E187" s="7" t="inlineStr">
        <is>
          <t>author-reported</t>
        </is>
      </c>
      <c r="F187" s="7" t="inlineStr"/>
      <c r="G187" s="7" t="inlineStr">
        <is>
          <t>—</t>
        </is>
      </c>
      <c r="H187" s="7" t="inlineStr">
        <is>
          <t>—</t>
        </is>
      </c>
      <c r="I187" s="7" t="n"/>
      <c r="J187" s="7" t="inlineStr">
        <is>
          <t>—</t>
        </is>
      </c>
      <c r="K187" s="7" t="inlineStr">
        <is>
          <t>Logs not saved; not independently verified</t>
        </is>
      </c>
      <c r="L187" s="7" t="inlineStr">
        <is>
          <t>Save a ledger for the fresh-clone run, or cite only the f073a10 ledger</t>
        </is>
      </c>
      <c r="M187" s="7" t="inlineStr"/>
    </row>
    <row r="188">
      <c r="A188" s="7" t="inlineStr">
        <is>
          <t>C-VR-01</t>
        </is>
      </c>
      <c r="B188" s="7" t="inlineStr">
        <is>
          <t>pytest 221 passed, 2 skipped at f073a10</t>
        </is>
      </c>
      <c r="C188" s="7" t="inlineStr">
        <is>
          <t>context.md; reports/verification/final_2026-10-22_145326Z/LEDGER.md</t>
        </is>
      </c>
      <c r="D188" s="7" t="inlineStr">
        <is>
          <t>Local verification at f073a10 (not later revisions)</t>
        </is>
      </c>
      <c r="E188" s="7" t="inlineStr">
        <is>
          <t>tested</t>
        </is>
      </c>
      <c r="F188" s="7" t="inlineStr">
        <is>
          <t>ver.pytest.passed; ver.pytest.skipped</t>
        </is>
      </c>
      <c r="G188" s="8">
        <f>IF(AND(ISNUMBER(Sources!$C$463)),Sources!$C$463,"unavailable")</f>
        <v/>
      </c>
      <c r="H188" s="7" t="n">
        <v>221</v>
      </c>
      <c r="I188" s="7" t="n">
        <v>0</v>
      </c>
      <c r="J188" s="7">
        <f>IF(ISNUMBER(G188),IF(ABS(G188-H188)&lt;=0.5*10^(-I188)+1E-9,"matches","MISMATCH"),"pending")</f>
        <v/>
      </c>
      <c r="K188" s="7" t="inlineStr"/>
      <c r="L188" s="7" t="inlineStr"/>
      <c r="M188" s="7" t="inlineStr"/>
    </row>
    <row r="189">
      <c r="A189" s="7" t="inlineStr">
        <is>
          <t>C-VR-02</t>
        </is>
      </c>
      <c r="B189" s="7" t="inlineStr">
        <is>
          <t>vitest 141 passed at f073a10</t>
        </is>
      </c>
      <c r="C189" s="7" t="inlineStr">
        <is>
          <t>context.md; LEDGER.md</t>
        </is>
      </c>
      <c r="D189" s="7" t="inlineStr">
        <is>
          <t>Local verification at f073a10</t>
        </is>
      </c>
      <c r="E189" s="7" t="inlineStr">
        <is>
          <t>tested</t>
        </is>
      </c>
      <c r="F189" s="7" t="inlineStr">
        <is>
          <t>ver.vitest.passed</t>
        </is>
      </c>
      <c r="G189" s="8">
        <f>IF(AND(ISNUMBER(Sources!$C$466)),Sources!$C$466,"unavailable")</f>
        <v/>
      </c>
      <c r="H189" s="7" t="n">
        <v>141</v>
      </c>
      <c r="I189" s="7" t="n">
        <v>0</v>
      </c>
      <c r="J189" s="7">
        <f>IF(ISNUMBER(G189),IF(ABS(G189-H189)&lt;=0.5*10^(-I189)+1E-9,"matches","MISMATCH"),"pending")</f>
        <v/>
      </c>
      <c r="K189" s="7" t="inlineStr"/>
      <c r="L189" s="7" t="inlineStr"/>
      <c r="M189" s="7" t="inlineStr"/>
    </row>
    <row r="190">
      <c r="A190" s="7" t="inlineStr">
        <is>
          <t>C-VR-03</t>
        </is>
      </c>
      <c r="B190" s="7" t="inlineStr">
        <is>
          <t>e2e 29 normal/recorded at f073a10</t>
        </is>
      </c>
      <c r="C190" s="7" t="inlineStr">
        <is>
          <t>context.md; LEDGER.md</t>
        </is>
      </c>
      <c r="D190" s="7" t="inlineStr">
        <is>
          <t>Local verification at f073a10</t>
        </is>
      </c>
      <c r="E190" s="7" t="inlineStr">
        <is>
          <t>tested</t>
        </is>
      </c>
      <c r="F190" s="7" t="inlineStr">
        <is>
          <t>ver.e2e.passed</t>
        </is>
      </c>
      <c r="G190" s="8">
        <f>IF(AND(ISNUMBER(Sources!$C$469)),Sources!$C$469,"unavailable")</f>
        <v/>
      </c>
      <c r="H190" s="7" t="n">
        <v>29</v>
      </c>
      <c r="I190" s="7" t="n">
        <v>0</v>
      </c>
      <c r="J190" s="7">
        <f>IF(ISNUMBER(G190),IF(ABS(G190-H190)&lt;=0.5*10^(-I190)+1E-9,"matches","MISMATCH"),"pending")</f>
        <v/>
      </c>
      <c r="K190" s="7" t="inlineStr"/>
      <c r="L190" s="7" t="inlineStr"/>
      <c r="M190" s="7" t="inlineStr"/>
    </row>
    <row r="191">
      <c r="A191" s="7" t="inlineStr">
        <is>
          <t>C-VR-04</t>
        </is>
      </c>
      <c r="B191" s="7" t="inlineStr">
        <is>
          <t>e2e 4 public at f073a10</t>
        </is>
      </c>
      <c r="C191" s="7" t="inlineStr">
        <is>
          <t>LEDGER.md</t>
        </is>
      </c>
      <c r="D191" s="7" t="inlineStr">
        <is>
          <t>Local verification at f073a10</t>
        </is>
      </c>
      <c r="E191" s="7" t="inlineStr">
        <is>
          <t>tested</t>
        </is>
      </c>
      <c r="F191" s="7" t="inlineStr">
        <is>
          <t>ver.e2e_public.passed</t>
        </is>
      </c>
      <c r="G191" s="8">
        <f>IF(AND(ISNUMBER(Sources!$C$472)),Sources!$C$472,"unavailable")</f>
        <v/>
      </c>
      <c r="H191" s="7" t="n">
        <v>4</v>
      </c>
      <c r="I191" s="7" t="n">
        <v>0</v>
      </c>
      <c r="J191" s="7">
        <f>IF(ISNUMBER(G191),IF(ABS(G191-H191)&lt;=0.5*10^(-I191)+1E-9,"matches","MISMATCH"),"pending")</f>
        <v/>
      </c>
      <c r="K191" s="7" t="inlineStr"/>
      <c r="L191" s="7" t="inlineStr"/>
      <c r="M191" s="7" t="inlineStr"/>
    </row>
    <row r="192">
      <c r="A192" s="7" t="inlineStr">
        <is>
          <t>C-VR-05</t>
        </is>
      </c>
      <c r="B192" s="7" t="inlineStr">
        <is>
          <t>e2e 3 summary/export at f073a10</t>
        </is>
      </c>
      <c r="C192" s="7" t="inlineStr">
        <is>
          <t>LEDGER.md</t>
        </is>
      </c>
      <c r="D192" s="7" t="inlineStr">
        <is>
          <t>Local verification at f073a10</t>
        </is>
      </c>
      <c r="E192" s="7" t="inlineStr">
        <is>
          <t>tested</t>
        </is>
      </c>
      <c r="F192" s="7" t="inlineStr">
        <is>
          <t>ver.e2e_summary.passed</t>
        </is>
      </c>
      <c r="G192" s="8">
        <f>IF(AND(ISNUMBER(Sources!$C$475)),Sources!$C$475,"unavailable")</f>
        <v/>
      </c>
      <c r="H192" s="7" t="n">
        <v>3</v>
      </c>
      <c r="I192" s="7" t="n">
        <v>0</v>
      </c>
      <c r="J192" s="7">
        <f>IF(ISNUMBER(G192),IF(ABS(G192-H192)&lt;=0.5*10^(-I192)+1E-9,"matches","MISMATCH"),"pending")</f>
        <v/>
      </c>
      <c r="K192" s="7" t="inlineStr"/>
      <c r="L192" s="7" t="inlineStr"/>
      <c r="M192" s="7" t="inlineStr"/>
    </row>
    <row r="193">
      <c r="A193" s="7" t="inlineStr">
        <is>
          <t>C-VR-06</t>
        </is>
      </c>
      <c r="B193" s="7" t="inlineStr">
        <is>
          <t>Parity re-run in the final ledger: 15,440 compared, 0 over tolerance</t>
        </is>
      </c>
      <c r="C193" s="7" t="inlineStr">
        <is>
          <t>LEDGER.md</t>
        </is>
      </c>
      <c r="D193" s="7" t="inlineStr">
        <is>
          <t>Local verification at f073a10</t>
        </is>
      </c>
      <c r="E193" s="7" t="inlineStr">
        <is>
          <t>tested</t>
        </is>
      </c>
      <c r="F193" s="7" t="inlineStr">
        <is>
          <t>parity_final.compared; parity_final.over_tolerance</t>
        </is>
      </c>
      <c r="G193" s="8">
        <f>IF(AND(ISNUMBER(Sources!$C$182)),Sources!$C$182,"unavailable")</f>
        <v/>
      </c>
      <c r="H193" s="7" t="n">
        <v>15440</v>
      </c>
      <c r="I193" s="7" t="n">
        <v>0</v>
      </c>
      <c r="J193" s="7">
        <f>IF(ISNUMBER(G193),IF(ABS(G193-H193)&lt;=0.5*10^(-I193)+1E-9,"matches","MISMATCH"),"pending")</f>
        <v/>
      </c>
      <c r="K193" s="7" t="inlineStr"/>
      <c r="L193" s="7" t="inlineStr"/>
      <c r="M193" s="7" t="inlineStr"/>
    </row>
    <row r="194">
      <c r="A194" s="7" t="inlineStr">
        <is>
          <t>C-S1-01</t>
        </is>
      </c>
      <c r="B194" s="7" t="inlineStr">
        <is>
          <t>GlucoTwin — Team Kryptonite, VESIT; Avinash Gehi (team leader) · Hardik Hinduja</t>
        </is>
      </c>
      <c r="C194" s="7" t="inlineStr">
        <is>
          <t>Slide 1; Deck s15</t>
        </is>
      </c>
      <c r="D194" s="7" t="inlineStr">
        <is>
          <t>Team facts</t>
        </is>
      </c>
      <c r="E194" s="7" t="inlineStr">
        <is>
          <t>supported</t>
        </is>
      </c>
      <c r="F194" s="7" t="inlineStr">
        <is>
          <t>submission (configs/submission.yaml team.*)</t>
        </is>
      </c>
      <c r="G194" s="7" t="inlineStr">
        <is>
          <t>—</t>
        </is>
      </c>
      <c r="H194" s="7" t="inlineStr">
        <is>
          <t>—</t>
        </is>
      </c>
      <c r="I194" s="7" t="n"/>
      <c r="J194" s="7" t="inlineStr">
        <is>
          <t>—</t>
        </is>
      </c>
      <c r="K194" s="7" t="inlineStr"/>
      <c r="L194" s="7" t="inlineStr"/>
      <c r="M194" s="7" t="inlineStr"/>
    </row>
    <row r="195">
      <c r="A195" s="7" t="inlineStr">
        <is>
          <t>C-S1-02</t>
        </is>
      </c>
      <c r="B195" s="7" t="inlineStr">
        <is>
          <t>Digital Twin Challenge 2026 · Happiest Health</t>
        </is>
      </c>
      <c r="C195" s="7" t="inlineStr">
        <is>
          <t>Slide 1; README</t>
        </is>
      </c>
      <c r="D195" s="7" t="inlineStr">
        <is>
          <t>Challenge identity</t>
        </is>
      </c>
      <c r="E195" s="7" t="inlineStr">
        <is>
          <t>author-reported</t>
        </is>
      </c>
      <c r="F195" s="7" t="inlineStr"/>
      <c r="G195" s="7" t="inlineStr">
        <is>
          <t>—</t>
        </is>
      </c>
      <c r="H195" s="7" t="inlineStr">
        <is>
          <t>—</t>
        </is>
      </c>
      <c r="I195" s="7" t="n"/>
      <c r="J195" s="7" t="inlineStr">
        <is>
          <t>—</t>
        </is>
      </c>
      <c r="K195" s="7" t="inlineStr">
        <is>
          <t>Challenge page not archived in the repository</t>
        </is>
      </c>
      <c r="L195" s="7" t="inlineStr">
        <is>
          <t>Optional: cite the Unstop challenge URL</t>
        </is>
      </c>
      <c r="M195" s="7" t="inlineStr"/>
    </row>
    <row r="196">
      <c r="A196" s="7" t="inlineStr">
        <is>
          <t>C-S1-03</t>
        </is>
      </c>
      <c r="B196" s="7" t="inlineStr">
        <is>
          <t>Student research prototype — not a medical device</t>
        </is>
      </c>
      <c r="C196" s="7" t="inlineStr">
        <is>
          <t>Slide 1; README</t>
        </is>
      </c>
      <c r="D196" s="7" t="inlineStr">
        <is>
          <t>Scope statement</t>
        </is>
      </c>
      <c r="E196" s="7" t="inlineStr">
        <is>
          <t>author-reported</t>
        </is>
      </c>
      <c r="F196" s="7" t="inlineStr"/>
      <c r="G196" s="7" t="inlineStr">
        <is>
          <t>—</t>
        </is>
      </c>
      <c r="H196" s="7" t="inlineStr">
        <is>
          <t>—</t>
        </is>
      </c>
      <c r="I196" s="7" t="n"/>
      <c r="J196" s="7" t="inlineStr">
        <is>
          <t>—</t>
        </is>
      </c>
      <c r="K196" s="7" t="inlineStr">
        <is>
          <t>A declaration of intended use; no regulatory submission exists or is claimed</t>
        </is>
      </c>
      <c r="L196" s="7" t="inlineStr">
        <is>
          <t>See limitation</t>
        </is>
      </c>
      <c r="M196" s="7" t="inlineStr"/>
    </row>
    <row r="197">
      <c r="A197" s="7" t="inlineStr">
        <is>
          <t>C-S2-01</t>
        </is>
      </c>
      <c r="B197" s="7" t="inlineStr">
        <is>
          <t>HbA1c summarises ~3 months of glucose; it cannot show short high-glucose excursions (NIDDK)</t>
        </is>
      </c>
      <c r="C197" s="7" t="inlineStr">
        <is>
          <t>Slide 2; README §4</t>
        </is>
      </c>
      <c r="D197" s="7" t="inlineStr">
        <is>
          <t>External fact</t>
        </is>
      </c>
      <c r="E197" s="7" t="inlineStr">
        <is>
          <t>pending</t>
        </is>
      </c>
      <c r="F197" s="7" t="inlineStr"/>
      <c r="G197" s="7" t="inlineStr">
        <is>
          <t>—</t>
        </is>
      </c>
      <c r="H197" s="7" t="inlineStr">
        <is>
          <t>—</t>
        </is>
      </c>
      <c r="I197" s="7" t="n"/>
      <c r="J197" s="7" t="inlineStr">
        <is>
          <t>—</t>
        </is>
      </c>
      <c r="K197" s="7" t="inlineStr">
        <is>
          <t>No NIDDK URL is cited anywhere in the repository</t>
        </is>
      </c>
      <c r="L197" s="7" t="inlineStr">
        <is>
          <t>Pending primary-source check: locate the NIDDK page and record its URL and access date</t>
        </is>
      </c>
      <c r="M197" s="7" t="inlineStr"/>
    </row>
    <row r="198">
      <c r="A198" s="7" t="inlineStr">
        <is>
          <t>C-S2-02</t>
        </is>
      </c>
      <c r="B198" s="7" t="inlineStr">
        <is>
          <t>WHO identifies continuity of care and diabetes monitoring as ongoing challenges in India</t>
        </is>
      </c>
      <c r="C198" s="7" t="inlineStr">
        <is>
          <t>Slide 2</t>
        </is>
      </c>
      <c r="D198" s="7" t="inlineStr">
        <is>
          <t>External fact</t>
        </is>
      </c>
      <c r="E198" s="7" t="inlineStr">
        <is>
          <t>pending</t>
        </is>
      </c>
      <c r="F198" s="7" t="inlineStr"/>
      <c r="G198" s="7" t="inlineStr">
        <is>
          <t>—</t>
        </is>
      </c>
      <c r="H198" s="7" t="inlineStr">
        <is>
          <t>—</t>
        </is>
      </c>
      <c r="I198" s="7" t="n"/>
      <c r="J198" s="7" t="inlineStr">
        <is>
          <t>—</t>
        </is>
      </c>
      <c r="K198" s="7" t="inlineStr">
        <is>
          <t>No WHO document is cited anywhere in the repository</t>
        </is>
      </c>
      <c r="L198" s="7" t="inlineStr">
        <is>
          <t>Pending primary-source check: locate the WHO source and record its URL and access date</t>
        </is>
      </c>
      <c r="M198" s="7" t="inlineStr"/>
    </row>
    <row r="199">
      <c r="A199" s="7" t="inlineStr">
        <is>
          <t>C-S2-03</t>
        </is>
      </c>
      <c r="B199" s="7" t="inlineStr">
        <is>
          <t>Continuous glucose monitors produce ~288 readings a day</t>
        </is>
      </c>
      <c r="C199" s="7" t="inlineStr">
        <is>
          <t>Slide 2; README §4–5</t>
        </is>
      </c>
      <c r="D199" s="7" t="inlineStr">
        <is>
          <t>Arithmetic</t>
        </is>
      </c>
      <c r="E199" s="7" t="inlineStr">
        <is>
          <t>supported-arithmetic</t>
        </is>
      </c>
      <c r="F199" s="7" t="inlineStr">
        <is>
          <t>const.min_per_day; const.cadence</t>
        </is>
      </c>
      <c r="G199" s="8">
        <f>IF(AND(ISNUMBER(Sources!$C$491),ISNUMBER(Sources!$C$492)),Sources!$C$491/Sources!$C$492,"unavailable")</f>
        <v/>
      </c>
      <c r="H199" s="7" t="n">
        <v>288</v>
      </c>
      <c r="I199" s="7" t="n">
        <v>0</v>
      </c>
      <c r="J199" s="7">
        <f>IF(ISNUMBER(G199),IF(ABS(G199-H199)&lt;=0.5*10^(-I199)+1E-9,"matches","MISMATCH"),"pending")</f>
        <v/>
      </c>
      <c r="K199" s="7" t="inlineStr">
        <is>
          <t>Assumes a 5-minute sensor cadence (Dexcom G6 Pro)</t>
        </is>
      </c>
      <c r="L199" s="7" t="inlineStr"/>
      <c r="M199" s="7" t="inlineStr"/>
    </row>
    <row r="200">
      <c r="A200" s="7" t="inlineStr">
        <is>
          <t>C-S2-04</t>
        </is>
      </c>
      <c r="B200" s="7" t="inlineStr">
        <is>
          <t>Question for the clinician (framing)</t>
        </is>
      </c>
      <c r="C200" s="7" t="inlineStr">
        <is>
          <t>Slide 2</t>
        </is>
      </c>
      <c r="D200" s="7" t="inlineStr">
        <is>
          <t>Framing</t>
        </is>
      </c>
      <c r="E200" s="7" t="inlineStr">
        <is>
          <t>proposed/illustrative</t>
        </is>
      </c>
      <c r="F200" s="7" t="inlineStr"/>
      <c r="G200" s="7" t="inlineStr">
        <is>
          <t>—</t>
        </is>
      </c>
      <c r="H200" s="7" t="inlineStr">
        <is>
          <t>—</t>
        </is>
      </c>
      <c r="I200" s="7" t="n"/>
      <c r="J200" s="7" t="inlineStr">
        <is>
          <t>—</t>
        </is>
      </c>
      <c r="K200" s="7" t="inlineStr"/>
      <c r="L200" s="7" t="inlineStr"/>
      <c r="M200" s="7" t="inlineStr"/>
    </row>
    <row r="201">
      <c r="A201" s="7" t="inlineStr">
        <is>
          <t>C-S2-05</t>
        </is>
      </c>
      <c r="B201" s="7" t="inlineStr">
        <is>
          <t>Target: forecast glucose 30 and 60 minutes ahead and warn of a NEW sustained episode &gt; 180 mg/dL (≥ 15 min), Type 2</t>
        </is>
      </c>
      <c r="C201" s="7" t="inlineStr">
        <is>
          <t>Slide 2; README §4</t>
        </is>
      </c>
      <c r="D201" s="7" t="inlineStr">
        <is>
          <t>Task definition</t>
        </is>
      </c>
      <c r="E201" s="7" t="inlineStr">
        <is>
          <t>implemented</t>
        </is>
      </c>
      <c r="F201" s="7" t="inlineStr">
        <is>
          <t>cfg.confirm; cfg.threshold; fus.participants</t>
        </is>
      </c>
      <c r="G201" s="8">
        <f>IF(AND(ISNUMBER(Sources!$C$487)),Sources!$C$487,"unavailable")</f>
        <v/>
      </c>
      <c r="H201" s="7" t="n">
        <v>15</v>
      </c>
      <c r="I201" s="7" t="n">
        <v>0</v>
      </c>
      <c r="J201" s="7">
        <f>IF(ISNUMBER(G201),IF(ABS(G201-H201)&lt;=0.5*10^(-I201)+1E-9,"matches","MISMATCH"),"pending")</f>
        <v/>
      </c>
      <c r="K201" s="7" t="inlineStr"/>
      <c r="L201" s="7" t="inlineStr"/>
      <c r="M201" s="7" t="inlineStr"/>
    </row>
    <row r="202">
      <c r="A202" s="7" t="inlineStr">
        <is>
          <t>C-S3-01</t>
        </is>
      </c>
      <c r="B202" s="7" t="inlineStr">
        <is>
          <t>Hypothetical Mumbai diabetes educator illustration</t>
        </is>
      </c>
      <c r="C202" s="7" t="inlineStr">
        <is>
          <t>Slide 3; README §5</t>
        </is>
      </c>
      <c r="D202" s="7" t="inlineStr">
        <is>
          <t>Illustration</t>
        </is>
      </c>
      <c r="E202" s="7" t="inlineStr">
        <is>
          <t>proposed/illustrative</t>
        </is>
      </c>
      <c r="F202" s="7" t="inlineStr"/>
      <c r="G202" s="7" t="inlineStr">
        <is>
          <t>—</t>
        </is>
      </c>
      <c r="H202" s="7" t="inlineStr">
        <is>
          <t>—</t>
        </is>
      </c>
      <c r="I202" s="7" t="n"/>
      <c r="J202" s="7" t="inlineStr">
        <is>
          <t>—</t>
        </is>
      </c>
      <c r="K202" s="7" t="inlineStr">
        <is>
          <t>No clinic, partner, pilot or Indian participants</t>
        </is>
      </c>
      <c r="L202" s="7" t="inlineStr"/>
      <c r="M202" s="7" t="inlineStr"/>
    </row>
    <row r="203">
      <c r="A203" s="7" t="inlineStr">
        <is>
          <t>C-S3-02</t>
        </is>
      </c>
      <c r="B203" s="7" t="inlineStr">
        <is>
          <t>Proposed users and workflow</t>
        </is>
      </c>
      <c r="C203" s="7" t="inlineStr">
        <is>
          <t>Slide 3</t>
        </is>
      </c>
      <c r="D203" s="7" t="inlineStr">
        <is>
          <t>Proposal</t>
        </is>
      </c>
      <c r="E203" s="7" t="inlineStr">
        <is>
          <t>proposed/illustrative</t>
        </is>
      </c>
      <c r="F203" s="7" t="inlineStr"/>
      <c r="G203" s="7" t="inlineStr">
        <is>
          <t>—</t>
        </is>
      </c>
      <c r="H203" s="7" t="inlineStr">
        <is>
          <t>—</t>
        </is>
      </c>
      <c r="I203" s="7" t="n"/>
      <c r="J203" s="7" t="inlineStr">
        <is>
          <t>—</t>
        </is>
      </c>
      <c r="K203" s="7" t="inlineStr"/>
      <c r="L203" s="7" t="inlineStr"/>
      <c r="M203" s="7" t="inlineStr"/>
    </row>
    <row r="204">
      <c r="A204" s="7" t="inlineStr">
        <is>
          <t>C-S3-03</t>
        </is>
      </c>
      <c r="B204" s="7" t="inlineStr">
        <is>
          <t>Never: no insulin advice, triage, live device claims or LLM predictions</t>
        </is>
      </c>
      <c r="C204" s="7" t="inlineStr">
        <is>
          <t>Slide 3; README; Deck s10</t>
        </is>
      </c>
      <c r="D204" s="7" t="inlineStr">
        <is>
          <t>Scope boundary</t>
        </is>
      </c>
      <c r="E204" s="7" t="inlineStr">
        <is>
          <t>implemented</t>
        </is>
      </c>
      <c r="F204" s="7" t="inlineStr"/>
      <c r="G204" s="7" t="inlineStr">
        <is>
          <t>—</t>
        </is>
      </c>
      <c r="H204" s="7" t="inlineStr">
        <is>
          <t>—</t>
        </is>
      </c>
      <c r="I204" s="7" t="n"/>
      <c r="J204" s="7" t="inlineStr">
        <is>
          <t>—</t>
        </is>
      </c>
      <c r="K204" s="7" t="inlineStr">
        <is>
          <t>Absence of features verified by code inspection, not by a dedicated test</t>
        </is>
      </c>
      <c r="L204" s="7" t="inlineStr"/>
      <c r="M204" s="7" t="inlineStr"/>
    </row>
    <row r="205">
      <c r="A205" s="7" t="inlineStr">
        <is>
          <t>C-S3-04</t>
        </is>
      </c>
      <c r="B205" s="7" t="inlineStr">
        <is>
          <t>Potential fit with diagnostics + outpatient services is a proposal — no partnership or pilot is claimed</t>
        </is>
      </c>
      <c r="C205" s="7" t="inlineStr">
        <is>
          <t>Slide 3</t>
        </is>
      </c>
      <c r="D205" s="7" t="inlineStr">
        <is>
          <t>Proposal</t>
        </is>
      </c>
      <c r="E205" s="7" t="inlineStr">
        <is>
          <t>proposed/illustrative</t>
        </is>
      </c>
      <c r="F205" s="7" t="inlineStr"/>
      <c r="G205" s="7" t="inlineStr">
        <is>
          <t>—</t>
        </is>
      </c>
      <c r="H205" s="7" t="inlineStr">
        <is>
          <t>—</t>
        </is>
      </c>
      <c r="I205" s="7" t="n"/>
      <c r="J205" s="7" t="inlineStr">
        <is>
          <t>—</t>
        </is>
      </c>
      <c r="K205" s="7" t="inlineStr"/>
      <c r="L205" s="7" t="inlineStr"/>
      <c r="M205" s="7" t="inlineStr"/>
    </row>
    <row r="206">
      <c r="A206" s="7" t="inlineStr">
        <is>
          <t>C-S4-01</t>
        </is>
      </c>
      <c r="B206" s="7" t="inlineStr">
        <is>
          <t>Versioned patient state</t>
        </is>
      </c>
      <c r="C206" s="7" t="inlineStr">
        <is>
          <t>Slide 4</t>
        </is>
      </c>
      <c r="D206" s="7" t="inlineStr">
        <is>
          <t>Serving software</t>
        </is>
      </c>
      <c r="E206" s="7" t="inlineStr">
        <is>
          <t>tested</t>
        </is>
      </c>
      <c r="F206" s="7" t="inlineStr">
        <is>
          <t>tests.test_replay_api::test_review_snapshot_is_one_session_revision_and_clock</t>
        </is>
      </c>
      <c r="G206" s="7" t="inlineStr">
        <is>
          <t>—</t>
        </is>
      </c>
      <c r="H206" s="7" t="inlineStr">
        <is>
          <t>—</t>
        </is>
      </c>
      <c r="I206" s="7" t="n"/>
      <c r="J206" s="7" t="inlineStr">
        <is>
          <t>—</t>
        </is>
      </c>
      <c r="K206" s="7" t="inlineStr"/>
      <c r="L206" s="7" t="inlineStr"/>
      <c r="M206" s="7" t="inlineStr"/>
    </row>
    <row r="207">
      <c r="A207" s="7" t="inlineStr">
        <is>
          <t>C-S4-02</t>
        </is>
      </c>
      <c r="B207" s="7" t="inlineStr">
        <is>
          <t>Replay clock releases only what was available</t>
        </is>
      </c>
      <c r="C207" s="7" t="inlineStr">
        <is>
          <t>Slide 4; Deck s10</t>
        </is>
      </c>
      <c r="D207" s="7" t="inlineStr">
        <is>
          <t>Serving software</t>
        </is>
      </c>
      <c r="E207" s="7" t="inlineStr">
        <is>
          <t>tested</t>
        </is>
      </c>
      <c r="F207" s="7" t="inlineStr">
        <is>
          <t>tests.test_replay_api::test_event_polling_has_no_duplicates_or_gaps_and_respects_availability; tests.test_leakage::test_late_logged_meal_is_hidden_until_available</t>
        </is>
      </c>
      <c r="G207" s="7" t="inlineStr">
        <is>
          <t>—</t>
        </is>
      </c>
      <c r="H207" s="7" t="inlineStr">
        <is>
          <t>—</t>
        </is>
      </c>
      <c r="I207" s="7" t="n"/>
      <c r="J207" s="7" t="inlineStr">
        <is>
          <t>—</t>
        </is>
      </c>
      <c r="K207" s="7" t="inlineStr"/>
      <c r="L207" s="7" t="inlineStr"/>
      <c r="M207" s="7" t="inlineStr"/>
    </row>
    <row r="208">
      <c r="A208" s="7" t="inlineStr">
        <is>
          <t>C-S4-03</t>
        </is>
      </c>
      <c r="B208" s="7" t="inlineStr">
        <is>
          <t>Population forecaster + patient correction learned from matured errors</t>
        </is>
      </c>
      <c r="C208" s="7" t="inlineStr">
        <is>
          <t>Slide 4</t>
        </is>
      </c>
      <c r="D208" s="7" t="inlineStr">
        <is>
          <t>Serving software</t>
        </is>
      </c>
      <c r="E208" s="7" t="inlineStr">
        <is>
          <t>tested</t>
        </is>
      </c>
      <c r="F208" s="7" t="inlineStr">
        <is>
          <t>tests.test_leakage::test_sixty_minute_residual_matures_only_when_target_is_available; tests.test_leakage::test_corrections_never_stack_on_corrected_predictions</t>
        </is>
      </c>
      <c r="G208" s="7" t="inlineStr">
        <is>
          <t>—</t>
        </is>
      </c>
      <c r="H208" s="7" t="inlineStr">
        <is>
          <t>—</t>
        </is>
      </c>
      <c r="I208" s="7" t="n"/>
      <c r="J208" s="7" t="inlineStr">
        <is>
          <t>—</t>
        </is>
      </c>
      <c r="K208" s="7" t="inlineStr"/>
      <c r="L208" s="7" t="inlineStr"/>
      <c r="M208" s="7" t="inlineStr"/>
    </row>
    <row r="209">
      <c r="A209" s="7" t="inlineStr">
        <is>
          <t>C-S4-04</t>
        </is>
      </c>
      <c r="B209" s="7" t="inlineStr">
        <is>
          <t>A statistical research twin, not a physiological simulator</t>
        </is>
      </c>
      <c r="C209" s="7" t="inlineStr">
        <is>
          <t>Slide 4</t>
        </is>
      </c>
      <c r="D209" s="7" t="inlineStr">
        <is>
          <t>Definition</t>
        </is>
      </c>
      <c r="E209" s="7" t="inlineStr">
        <is>
          <t>implemented</t>
        </is>
      </c>
      <c r="F209" s="7" t="inlineStr"/>
      <c r="G209" s="7" t="inlineStr">
        <is>
          <t>—</t>
        </is>
      </c>
      <c r="H209" s="7" t="inlineStr">
        <is>
          <t>—</t>
        </is>
      </c>
      <c r="I209" s="7" t="n"/>
      <c r="J209" s="7" t="inlineStr">
        <is>
          <t>—</t>
        </is>
      </c>
      <c r="K209" s="7" t="inlineStr">
        <is>
          <t>Describes the method class (no physiological model in code)</t>
        </is>
      </c>
      <c r="L209" s="7" t="inlineStr"/>
      <c r="M209" s="7" t="inlineStr"/>
    </row>
    <row r="210">
      <c r="A210" s="7" t="inlineStr">
        <is>
          <t>C-S5-01</t>
        </is>
      </c>
      <c r="B210" s="7" t="inlineStr">
        <is>
          <t>CGMacros 1.0.0 (PhysioNet, CC BY-NC-SA 4.0)</t>
        </is>
      </c>
      <c r="C210" s="7" t="inlineStr">
        <is>
          <t>Slide 5; docs/data_card.md; Deck s15</t>
        </is>
      </c>
      <c r="D210" s="7" t="inlineStr">
        <is>
          <t>Dataset licence</t>
        </is>
      </c>
      <c r="E210" s="7" t="inlineStr">
        <is>
          <t>supported</t>
        </is>
      </c>
      <c r="F210" s="7" t="inlineStr">
        <is>
          <t>src.cgm.license; src.cgm.doi</t>
        </is>
      </c>
      <c r="G210" s="7" t="inlineStr">
        <is>
          <t>—</t>
        </is>
      </c>
      <c r="H210" s="7" t="inlineStr">
        <is>
          <t>—</t>
        </is>
      </c>
      <c r="I210" s="7" t="n"/>
      <c r="J210" s="7" t="inlineStr">
        <is>
          <t>—</t>
        </is>
      </c>
      <c r="K210" s="7" t="inlineStr"/>
      <c r="L210" s="7" t="inlineStr"/>
      <c r="M210" s="7" t="inlineStr"/>
    </row>
    <row r="211">
      <c r="A211" s="7" t="inlineStr">
        <is>
          <t>C-S5-02</t>
        </is>
      </c>
      <c r="B211" s="7" t="inlineStr">
        <is>
          <t>CGMacros: 45 adults</t>
        </is>
      </c>
      <c r="C211" s="7" t="inlineStr">
        <is>
          <t>Slide 5</t>
        </is>
      </c>
      <c r="D211" s="7" t="inlineStr">
        <is>
          <t>Dataset</t>
        </is>
      </c>
      <c r="E211" s="7" t="inlineStr">
        <is>
          <t>supported</t>
        </is>
      </c>
      <c r="F211" s="7" t="inlineStr">
        <is>
          <t>inv.cgm</t>
        </is>
      </c>
      <c r="G211" s="8">
        <f>IF(AND(ISNUMBER(Sources!$C$456)),Sources!$C$456,"unavailable")</f>
        <v/>
      </c>
      <c r="H211" s="7" t="n">
        <v>45</v>
      </c>
      <c r="I211" s="7" t="n">
        <v>0</v>
      </c>
      <c r="J211" s="7">
        <f>IF(ISNUMBER(G211),IF(ABS(G211-H211)&lt;=0.5*10^(-I211)+1E-9,"matches","MISMATCH"),"pending")</f>
        <v/>
      </c>
      <c r="K211" s="7" t="inlineStr"/>
      <c r="L211" s="7" t="inlineStr"/>
      <c r="M211" s="7" t="inlineStr"/>
    </row>
    <row r="212">
      <c r="A212" s="7" t="inlineStr">
        <is>
          <t>C-S5-03</t>
        </is>
      </c>
      <c r="B212" s="7" t="inlineStr">
        <is>
          <t>~10 days, Dexcom G6 Pro + Libre Pro (blinded), Fitbit, meals, screening labs</t>
        </is>
      </c>
      <c r="C212" s="7" t="inlineStr">
        <is>
          <t>Slide 5; docs/data_card.md</t>
        </is>
      </c>
      <c r="D212" s="7" t="inlineStr">
        <is>
          <t>Dataset description</t>
        </is>
      </c>
      <c r="E212" s="7" t="inlineStr">
        <is>
          <t>supported</t>
        </is>
      </c>
      <c r="F212" s="7" t="inlineStr">
        <is>
          <t>data_card</t>
        </is>
      </c>
      <c r="G212" s="7" t="inlineStr">
        <is>
          <t>—</t>
        </is>
      </c>
      <c r="H212" s="7" t="inlineStr">
        <is>
          <t>—</t>
        </is>
      </c>
      <c r="I212" s="7" t="n"/>
      <c r="J212" s="7" t="inlineStr">
        <is>
          <t>—</t>
        </is>
      </c>
      <c r="K212" s="7" t="inlineStr">
        <is>
          <t>From the publisher description recorded in the data card; not re-checked against PhysioNet in this build</t>
        </is>
      </c>
      <c r="L212" s="7" t="inlineStr"/>
      <c r="M212" s="7" t="inlineStr"/>
    </row>
    <row r="213">
      <c r="A213" s="7" t="inlineStr">
        <is>
          <t>C-S5-04</t>
        </is>
      </c>
      <c r="B213" s="7" t="inlineStr">
        <is>
          <t>Primary cohort: 14 participants in the Type 2 group (HbA1c &gt; 6.4 %)</t>
        </is>
      </c>
      <c r="C213" s="7" t="inlineStr">
        <is>
          <t>Slide 5; README</t>
        </is>
      </c>
      <c r="D213" s="7" t="inlineStr">
        <is>
          <t>Cohort</t>
        </is>
      </c>
      <c r="E213" s="7" t="inlineStr">
        <is>
          <t>supported</t>
        </is>
      </c>
      <c r="F213" s="7" t="inlineStr">
        <is>
          <t>fus.participants; decisions (D-006)</t>
        </is>
      </c>
      <c r="G213" s="8">
        <f>IF(AND(ISNUMBER(Sources!$C$115)),Sources!$C$115,"unavailable")</f>
        <v/>
      </c>
      <c r="H213" s="7" t="n">
        <v>14</v>
      </c>
      <c r="I213" s="7" t="n">
        <v>0</v>
      </c>
      <c r="J213" s="7">
        <f>IF(ISNUMBER(G213),IF(ABS(G213-H213)&lt;=0.5*10^(-I213)+1E-9,"matches","MISMATCH"),"pending")</f>
        <v/>
      </c>
      <c r="K213" s="7" t="inlineStr"/>
      <c r="L213" s="7" t="inlineStr"/>
      <c r="M213" s="7" t="inlineStr"/>
    </row>
    <row r="214">
      <c r="A214" s="7" t="inlineStr">
        <is>
          <t>C-S5-05</t>
        </is>
      </c>
      <c r="B214" s="7" t="inlineStr">
        <is>
          <t>31 others replayable but excluded</t>
        </is>
      </c>
      <c r="C214" s="7" t="inlineStr">
        <is>
          <t>Slide 5; docs/data_card.md</t>
        </is>
      </c>
      <c r="D214" s="7" t="inlineStr">
        <is>
          <t>Cohort</t>
        </is>
      </c>
      <c r="E214" s="7" t="inlineStr">
        <is>
          <t>supported</t>
        </is>
      </c>
      <c r="F214" s="7" t="inlineStr">
        <is>
          <t>inv.cgm; fus.participants; fus.excluded</t>
        </is>
      </c>
      <c r="G214" s="8">
        <f>IF(AND(ISNUMBER(Sources!$C$456),ISNUMBER(Sources!$C$115)),Sources!$C$456-Sources!$C$115,"unavailable")</f>
        <v/>
      </c>
      <c r="H214" s="7" t="n">
        <v>31</v>
      </c>
      <c r="I214" s="7" t="n">
        <v>0</v>
      </c>
      <c r="J214" s="7">
        <f>IF(ISNUMBER(G214),IF(ABS(G214-H214)&lt;=0.5*10^(-I214)+1E-9,"matches","MISMATCH"),"pending")</f>
        <v/>
      </c>
      <c r="K214" s="7" t="inlineStr"/>
      <c r="L214" s="7" t="inlineStr"/>
      <c r="M214" s="7" t="inlineStr"/>
    </row>
    <row r="215">
      <c r="A215" s="7" t="inlineStr">
        <is>
          <t>C-S5-06</t>
        </is>
      </c>
      <c r="B215" s="7" t="inlineStr">
        <is>
          <t>Published 1-minute CGM columns are linearly interpolated; native 5-minute Dexcom readings recovered</t>
        </is>
      </c>
      <c r="C215" s="7" t="inlineStr">
        <is>
          <t>Slide 5; Deck s13</t>
        </is>
      </c>
      <c r="D215" s="7" t="inlineStr">
        <is>
          <t>Data handling</t>
        </is>
      </c>
      <c r="E215" s="7" t="inlineStr">
        <is>
          <t>tested</t>
        </is>
      </c>
      <c r="F215" s="7" t="inlineStr">
        <is>
          <t>data_audit; tests.test_leakage::test_one_minute_interpolated_rows_do_not_inflate_observations</t>
        </is>
      </c>
      <c r="G215" s="7" t="inlineStr">
        <is>
          <t>—</t>
        </is>
      </c>
      <c r="H215" s="7" t="inlineStr">
        <is>
          <t>—</t>
        </is>
      </c>
      <c r="I215" s="7" t="n"/>
      <c r="J215" s="7" t="inlineStr">
        <is>
          <t>—</t>
        </is>
      </c>
      <c r="K215" s="7" t="inlineStr"/>
      <c r="L215" s="7" t="inlineStr"/>
      <c r="M215" s="7" t="inlineStr"/>
    </row>
    <row r="216">
      <c r="A216" s="7" t="inlineStr">
        <is>
          <t>C-S5-07</t>
        </is>
      </c>
      <c r="B216" s="7" t="inlineStr">
        <is>
          <t>Undocumented columns reported; dates shifted; timezone unknown → synthetic clock, no time-of-day features</t>
        </is>
      </c>
      <c r="C216" s="7" t="inlineStr">
        <is>
          <t>Slide 5</t>
        </is>
      </c>
      <c r="D216" s="7" t="inlineStr">
        <is>
          <t>Data handling</t>
        </is>
      </c>
      <c r="E216" s="7" t="inlineStr">
        <is>
          <t>supported</t>
        </is>
      </c>
      <c r="F216" s="7" t="inlineStr">
        <is>
          <t>data_audit (Undocumented columns; Time)</t>
        </is>
      </c>
      <c r="G216" s="7" t="inlineStr">
        <is>
          <t>—</t>
        </is>
      </c>
      <c r="H216" s="7" t="inlineStr">
        <is>
          <t>—</t>
        </is>
      </c>
      <c r="I216" s="7" t="n"/>
      <c r="J216" s="7" t="inlineStr">
        <is>
          <t>—</t>
        </is>
      </c>
      <c r="K216" s="7" t="inlineStr">
        <is>
          <t>Data card says the synthetic timeline preserves source time of day; 'no time-of-day features' is a model-input statement checked against the feature list, not a test</t>
        </is>
      </c>
      <c r="L216" s="7" t="inlineStr"/>
      <c r="M216" s="7" t="inlineStr"/>
    </row>
    <row r="217">
      <c r="A217" s="7" t="inlineStr">
        <is>
          <t>C-S5-08</t>
        </is>
      </c>
      <c r="B217" s="7" t="inlineStr">
        <is>
          <t>Synthetic fictional participants (labelled synthetic)</t>
        </is>
      </c>
      <c r="C217" s="7" t="inlineStr">
        <is>
          <t>Slide 5; README</t>
        </is>
      </c>
      <c r="D217" s="7" t="inlineStr">
        <is>
          <t>Synthetic mode</t>
        </is>
      </c>
      <c r="E217" s="7" t="inlineStr">
        <is>
          <t>tested</t>
        </is>
      </c>
      <c r="F217" s="7" t="inlineStr">
        <is>
          <t>tests.test_public_demo::test_synthetic_only; reg.synthetic_fitted</t>
        </is>
      </c>
      <c r="G217" s="7" t="inlineStr">
        <is>
          <t>—</t>
        </is>
      </c>
      <c r="H217" s="7" t="inlineStr">
        <is>
          <t>—</t>
        </is>
      </c>
      <c r="I217" s="7" t="n"/>
      <c r="J217" s="7" t="inlineStr">
        <is>
          <t>—</t>
        </is>
      </c>
      <c r="K217" s="7" t="inlineStr"/>
      <c r="L217" s="7" t="inlineStr"/>
      <c r="M217" s="7" t="inlineStr"/>
    </row>
    <row r="218">
      <c r="A218" s="7" t="inlineStr">
        <is>
          <t>C-D6-01</t>
        </is>
      </c>
      <c r="B218" s="7" t="inlineStr">
        <is>
          <t>A forecast at time t uses only records observed and available by t</t>
        </is>
      </c>
      <c r="C218" s="7" t="inlineStr">
        <is>
          <t>Deck s6</t>
        </is>
      </c>
      <c r="D218" s="7" t="inlineStr">
        <is>
          <t>Serving software</t>
        </is>
      </c>
      <c r="E218" s="7" t="inlineStr">
        <is>
          <t>tested</t>
        </is>
      </c>
      <c r="F218" s="7" t="inlineStr">
        <is>
          <t>tests.test_leakage::test_future_values_cannot_change_earlier_features; tests.test_data_expansion::test_a_reading_released_late_is_invisible_before_its_availability</t>
        </is>
      </c>
      <c r="G218" s="7" t="inlineStr">
        <is>
          <t>—</t>
        </is>
      </c>
      <c r="H218" s="7" t="inlineStr">
        <is>
          <t>—</t>
        </is>
      </c>
      <c r="I218" s="7" t="n"/>
      <c r="J218" s="7" t="inlineStr">
        <is>
          <t>—</t>
        </is>
      </c>
      <c r="K218" s="7" t="inlineStr"/>
      <c r="L218" s="7" t="inlineStr"/>
      <c r="M218" s="7" t="inlineStr"/>
    </row>
    <row r="219">
      <c r="A219" s="7" t="inlineStr">
        <is>
          <t>C-D6-02</t>
        </is>
      </c>
      <c r="B219" s="7" t="inlineStr">
        <is>
          <t>Meals left out of the main model (logging time unknown); tested separately</t>
        </is>
      </c>
      <c r="C219" s="7" t="inlineStr">
        <is>
          <t>Deck s6</t>
        </is>
      </c>
      <c r="D219" s="7" t="inlineStr">
        <is>
          <t>Serving model, final test segment (later recordings of the same 14 people; retrospective, inspected)</t>
        </is>
      </c>
      <c r="E219" s="7" t="inlineStr">
        <is>
          <t>supported</t>
        </is>
      </c>
      <c r="F219" s="7" t="inlineStr">
        <is>
          <t>fus.sens.meal60; fus.sens.meal60; data_card</t>
        </is>
      </c>
      <c r="G219" s="8">
        <f>IF(AND(ISNUMBER(Sources!$C$117)),Sources!$C$117,"unavailable")</f>
        <v/>
      </c>
      <c r="H219" s="7" t="inlineStr">
        <is>
          <t>—</t>
        </is>
      </c>
      <c r="I219" s="7" t="n"/>
      <c r="J219" s="7" t="inlineStr">
        <is>
          <t>see limitation</t>
        </is>
      </c>
      <c r="K219" s="7" t="inlineStr">
        <is>
          <t>Optimistic meal-logging sensitivity, not eligible for serving</t>
        </is>
      </c>
      <c r="L219" s="7" t="inlineStr"/>
      <c r="M219" s="7" t="inlineStr"/>
    </row>
    <row r="220">
      <c r="A220" s="7" t="inlineStr">
        <is>
          <t>C-D6-03</t>
        </is>
      </c>
      <c r="B220" s="7" t="inlineStr">
        <is>
          <t>Protocol frozen before fitting; choices made on validation</t>
        </is>
      </c>
      <c r="C220" s="7" t="inlineStr">
        <is>
          <t>Deck s6</t>
        </is>
      </c>
      <c r="D220" s="7" t="inlineStr">
        <is>
          <t>Protocol</t>
        </is>
      </c>
      <c r="E220" s="7" t="inlineStr">
        <is>
          <t>supported</t>
        </is>
      </c>
      <c r="F220" s="7" t="inlineStr">
        <is>
          <t>Studies sheet (protocol first commit vs run); fus.selection_rule</t>
        </is>
      </c>
      <c r="G220" s="7" t="inlineStr">
        <is>
          <t>—</t>
        </is>
      </c>
      <c r="H220" s="7" t="inlineStr">
        <is>
          <t>—</t>
        </is>
      </c>
      <c r="I220" s="7" t="n"/>
      <c r="J220" s="7" t="inlineStr">
        <is>
          <t>—</t>
        </is>
      </c>
      <c r="K220" s="7" t="inlineStr">
        <is>
          <t>The fusion protocol's first commit is 25 s after the run's created_at and its constraint was declared after the test was inspected (disclosed)</t>
        </is>
      </c>
      <c r="L220" s="7" t="inlineStr"/>
      <c r="M220" s="7" t="inlineStr"/>
    </row>
    <row r="221">
      <c r="A221" s="7" t="inlineStr">
        <is>
          <t>C-D6-04</t>
        </is>
      </c>
      <c r="B221" s="7" t="inlineStr">
        <is>
          <t>The fusion re-run (gt-primary-2026-10-13-fusion) was declared after gt-primary-2026-10-11-v2's test had been inspected</t>
        </is>
      </c>
      <c r="C221" s="7" t="inlineStr">
        <is>
          <t>Deck s6; Deck s9</t>
        </is>
      </c>
      <c r="D221" s="7" t="inlineStr">
        <is>
          <t>Serving model, final test segment (later recordings of the same 14 people; retrospective, inspected)</t>
        </is>
      </c>
      <c r="E221" s="7" t="inlineStr">
        <is>
          <t>supported</t>
        </is>
      </c>
      <c r="F221" s="7" t="inlineStr">
        <is>
          <t>decisions (D-038/D-039); fusion /correction_note</t>
        </is>
      </c>
      <c r="G221" s="7" t="inlineStr">
        <is>
          <t>—</t>
        </is>
      </c>
      <c r="H221" s="7" t="inlineStr">
        <is>
          <t>—</t>
        </is>
      </c>
      <c r="I221" s="7" t="n"/>
      <c r="J221" s="7" t="inlineStr">
        <is>
          <t>—</t>
        </is>
      </c>
      <c r="K221" s="7" t="inlineStr"/>
      <c r="L221" s="7" t="inlineStr"/>
      <c r="M221" s="7" t="inlineStr"/>
    </row>
    <row r="222">
      <c r="A222" s="7" t="inlineStr">
        <is>
          <t>C-D7-01</t>
        </is>
      </c>
      <c r="B222" s="7" t="inlineStr">
        <is>
          <t>Synthetic patients: 5 fictional profiles (CC0)</t>
        </is>
      </c>
      <c r="C222" s="7" t="inlineStr">
        <is>
          <t>Deck s7</t>
        </is>
      </c>
      <c r="D222" s="7" t="inlineStr">
        <is>
          <t>Synthetic mode</t>
        </is>
      </c>
      <c r="E222" s="7" t="inlineStr">
        <is>
          <t>implemented</t>
        </is>
      </c>
      <c r="F222" s="7" t="inlineStr">
        <is>
          <t>ml/glucotwin/data/synthetic.py (scenarios SYN-A…SYN-E, LICENSE CC0-1.0); docs/data_card.md</t>
        </is>
      </c>
      <c r="G222" s="7" t="inlineStr">
        <is>
          <t>—</t>
        </is>
      </c>
      <c r="H222" s="7" t="inlineStr">
        <is>
          <t>—</t>
        </is>
      </c>
      <c r="I222" s="7" t="n"/>
      <c r="J222" s="7" t="inlineStr">
        <is>
          <t>—</t>
        </is>
      </c>
      <c r="K222" s="7" t="inlineStr"/>
      <c r="L222" s="7" t="inlineStr"/>
      <c r="M222" s="7" t="inlineStr"/>
    </row>
    <row r="223">
      <c r="A223" s="7" t="inlineStr">
        <is>
          <t>C-D7-02</t>
        </is>
      </c>
      <c r="B223" s="7" t="inlineStr">
        <is>
          <t>External cohort ShanghaiT2DM, 98 people, 15-min CGM, research only</t>
        </is>
      </c>
      <c r="C223" s="7" t="inlineStr">
        <is>
          <t>Deck s7</t>
        </is>
      </c>
      <c r="D223" s="7" t="inlineStr">
        <is>
          <t>External ShanghaiT2DM, 98 people, CGM-only procedure (not the serving fusion model)</t>
        </is>
      </c>
      <c r="E223" s="7" t="inlineStr">
        <is>
          <t>supported</t>
        </is>
      </c>
      <c r="F223" s="7" t="inlineStr">
        <is>
          <t>inv.sh_eval</t>
        </is>
      </c>
      <c r="G223" s="8">
        <f>IF(AND(ISNUMBER(Sources!$C$459)),Sources!$C$459,"unavailable")</f>
        <v/>
      </c>
      <c r="H223" s="7" t="n">
        <v>98</v>
      </c>
      <c r="I223" s="7" t="n">
        <v>0</v>
      </c>
      <c r="J223" s="7">
        <f>IF(ISNUMBER(G223),IF(ABS(G223-H223)&lt;=0.5*10^(-I223)+1E-9,"matches","MISMATCH"),"pending")</f>
        <v/>
      </c>
      <c r="K223" s="7" t="inlineStr"/>
      <c r="L223" s="7" t="inlineStr"/>
      <c r="M223" s="7" t="inlineStr"/>
    </row>
    <row r="224">
      <c r="A224" s="7" t="inlineStr">
        <is>
          <t>C-D7-03</t>
        </is>
      </c>
      <c r="B224" s="7" t="inlineStr">
        <is>
          <t>Replay releases a reading once available_at ≤ t; seek / reset → new revision</t>
        </is>
      </c>
      <c r="C224" s="7" t="inlineStr">
        <is>
          <t>Deck s7</t>
        </is>
      </c>
      <c r="D224" s="7" t="inlineStr">
        <is>
          <t>Serving software</t>
        </is>
      </c>
      <c r="E224" s="7" t="inlineStr">
        <is>
          <t>tested</t>
        </is>
      </c>
      <c r="F224" s="7" t="inlineStr">
        <is>
          <t>tests.test_replay_api::test_event_polling_has_no_duplicates_or_gaps_and_respects_availability; tests.test_replay_api::test_seek_backward_removes_future_state_and_invalidates_cursors</t>
        </is>
      </c>
      <c r="G224" s="7" t="inlineStr">
        <is>
          <t>—</t>
        </is>
      </c>
      <c r="H224" s="7" t="inlineStr">
        <is>
          <t>—</t>
        </is>
      </c>
      <c r="I224" s="7" t="n"/>
      <c r="J224" s="7" t="inlineStr">
        <is>
          <t>—</t>
        </is>
      </c>
      <c r="K224" s="7" t="inlineStr"/>
      <c r="L224" s="7" t="inlineStr"/>
      <c r="M224" s="7" t="inlineStr"/>
    </row>
    <row r="225">
      <c r="A225" s="7" t="inlineStr">
        <is>
          <t>C-D7-04</t>
        </is>
      </c>
      <c r="B225" s="7" t="inlineStr">
        <is>
          <t>Causal features, ≤ 180 min history</t>
        </is>
      </c>
      <c r="C225" s="7" t="inlineStr">
        <is>
          <t>Deck s7</t>
        </is>
      </c>
      <c r="D225" s="7" t="inlineStr">
        <is>
          <t>Serving software</t>
        </is>
      </c>
      <c r="E225" s="7" t="inlineStr">
        <is>
          <t>implemented</t>
        </is>
      </c>
      <c r="F225" s="7" t="inlineStr">
        <is>
          <t>cfg.lookback</t>
        </is>
      </c>
      <c r="G225" s="8">
        <f>IF(AND(ISNUMBER(Sources!$C$489)),Sources!$C$489,"unavailable")</f>
        <v/>
      </c>
      <c r="H225" s="7" t="n">
        <v>180</v>
      </c>
      <c r="I225" s="7" t="n">
        <v>0</v>
      </c>
      <c r="J225" s="7">
        <f>IF(ISNUMBER(G225),IF(ABS(G225-H225)&lt;=0.5*10^(-I225)+1E-9,"matches","MISMATCH"),"pending")</f>
        <v/>
      </c>
      <c r="K225" s="7" t="inlineStr"/>
      <c r="L225" s="7" t="inlineStr"/>
      <c r="M225" s="7" t="inlineStr"/>
    </row>
    <row r="226">
      <c r="A226" s="7" t="inlineStr">
        <is>
          <t>C-D7-05</t>
        </is>
      </c>
      <c r="B226" s="7" t="inlineStr">
        <is>
          <t>Fusion LightGBM: 8 profile + 38 dynamic features</t>
        </is>
      </c>
      <c r="C226" s="7" t="inlineStr">
        <is>
          <t>Deck s7; Deck s8</t>
        </is>
      </c>
      <c r="D226" s="7" t="inlineStr">
        <is>
          <t>Serving model</t>
        </is>
      </c>
      <c r="E226" s="7" t="inlineStr">
        <is>
          <t>author-reported</t>
        </is>
      </c>
      <c r="F226" s="7" t="inlineStr"/>
      <c r="G226" s="7" t="inlineStr">
        <is>
          <t>—</t>
        </is>
      </c>
      <c r="H226" s="7" t="inlineStr">
        <is>
          <t>—</t>
        </is>
      </c>
      <c r="I226" s="7" t="n"/>
      <c r="J226" s="7" t="inlineStr">
        <is>
          <t>—</t>
        </is>
      </c>
      <c r="K226" s="7" t="inlineStr">
        <is>
          <t>Counts stated in docs/model_card.md and README; not re-derived from the model artifact by this builder</t>
        </is>
      </c>
      <c r="L226" s="7" t="inlineStr">
        <is>
          <t>Optional: read the feature list from the registered model bundle</t>
        </is>
      </c>
      <c r="M226" s="7" t="inlineStr"/>
    </row>
    <row r="227">
      <c r="A227" s="7" t="inlineStr">
        <is>
          <t>C-D7-06</t>
        </is>
      </c>
      <c r="B227" s="7" t="inlineStr">
        <is>
          <t>Split 60/10/10/20 with purged boundaries</t>
        </is>
      </c>
      <c r="C227" s="7" t="inlineStr">
        <is>
          <t>Deck s7</t>
        </is>
      </c>
      <c r="D227" s="7" t="inlineStr">
        <is>
          <t>Protocol</t>
        </is>
      </c>
      <c r="E227" s="7" t="inlineStr">
        <is>
          <t>tested</t>
        </is>
      </c>
      <c r="F227" s="7" t="inlineStr">
        <is>
          <t>tests.test_leakage::test_split_purging_keeps_label_support_inside_segments; configs/experiment.yaml</t>
        </is>
      </c>
      <c r="G227" s="7" t="inlineStr">
        <is>
          <t>—</t>
        </is>
      </c>
      <c r="H227" s="7" t="inlineStr">
        <is>
          <t>—</t>
        </is>
      </c>
      <c r="I227" s="7" t="n"/>
      <c r="J227" s="7" t="inlineStr">
        <is>
          <t>—</t>
        </is>
      </c>
      <c r="K227" s="7" t="inlineStr"/>
      <c r="L227" s="7" t="inlineStr"/>
      <c r="M227" s="7" t="inlineStr"/>
    </row>
    <row r="228">
      <c r="A228" s="7" t="inlineStr">
        <is>
          <t>C-D7-07</t>
        </is>
      </c>
      <c r="B228" s="7" t="inlineStr">
        <is>
          <t>CPU only, local, no cloud, no LLM; not a medical device</t>
        </is>
      </c>
      <c r="C228" s="7" t="inlineStr">
        <is>
          <t>Deck s7</t>
        </is>
      </c>
      <c r="D228" s="7" t="inlineStr">
        <is>
          <t>Scope boundary</t>
        </is>
      </c>
      <c r="E228" s="7" t="inlineStr">
        <is>
          <t>implemented</t>
        </is>
      </c>
      <c r="F228" s="7" t="inlineStr"/>
      <c r="G228" s="7" t="inlineStr">
        <is>
          <t>—</t>
        </is>
      </c>
      <c r="H228" s="7" t="inlineStr">
        <is>
          <t>—</t>
        </is>
      </c>
      <c r="I228" s="7" t="n"/>
      <c r="J228" s="7" t="inlineStr">
        <is>
          <t>—</t>
        </is>
      </c>
      <c r="K228" s="7" t="inlineStr">
        <is>
          <t>Absence verified by code inspection only</t>
        </is>
      </c>
      <c r="L228" s="7" t="inlineStr"/>
      <c r="M228" s="7" t="inlineStr"/>
    </row>
    <row r="229">
      <c r="A229" s="7" t="inlineStr">
        <is>
          <t>C-D8-01</t>
        </is>
      </c>
      <c r="B229" s="7" t="inlineStr">
        <is>
          <t>Baselines persistence, linear trend, ridge; learners LightGBM and CatBoost, same search budget</t>
        </is>
      </c>
      <c r="C229" s="7" t="inlineStr">
        <is>
          <t>Deck s8</t>
        </is>
      </c>
      <c r="D229" s="7" t="inlineStr">
        <is>
          <t>Serving model, final test segment (later recordings of the same 14 people; retrospective, inspected)</t>
        </is>
      </c>
      <c r="E229" s="7" t="inlineStr">
        <is>
          <t>supported</t>
        </is>
      </c>
      <c r="F229" s="7" t="inlineStr">
        <is>
          <t>fus.selection_rule; selection candidates (Sources sel.*)</t>
        </is>
      </c>
      <c r="G229" s="7" t="inlineStr">
        <is>
          <t>—</t>
        </is>
      </c>
      <c r="H229" s="7" t="inlineStr">
        <is>
          <t>—</t>
        </is>
      </c>
      <c r="I229" s="7" t="n"/>
      <c r="J229" s="7" t="inlineStr">
        <is>
          <t>—</t>
        </is>
      </c>
      <c r="K229" s="7" t="inlineStr"/>
      <c r="L229" s="7" t="inlineStr"/>
      <c r="M229" s="7" t="inlineStr"/>
    </row>
    <row r="230">
      <c r="A230" s="7" t="inlineStr">
        <is>
          <t>C-D8-02</t>
        </is>
      </c>
      <c r="B230" s="7" t="inlineStr">
        <is>
          <t>Patient correction: a bounded mean of this person's observed errors; model weights never refit</t>
        </is>
      </c>
      <c r="C230" s="7" t="inlineStr">
        <is>
          <t>Deck s8</t>
        </is>
      </c>
      <c r="D230" s="7" t="inlineStr">
        <is>
          <t>Serving software</t>
        </is>
      </c>
      <c r="E230" s="7" t="inlineStr">
        <is>
          <t>tested</t>
        </is>
      </c>
      <c r="F230" s="7" t="inlineStr">
        <is>
          <t>tests.test_leakage::test_corrections_never_stack_on_corrected_predictions; tests.test_replay_api::test_personalization_reports_its_bound_and_reset_gap</t>
        </is>
      </c>
      <c r="G230" s="7" t="inlineStr">
        <is>
          <t>—</t>
        </is>
      </c>
      <c r="H230" s="7" t="inlineStr">
        <is>
          <t>—</t>
        </is>
      </c>
      <c r="I230" s="7" t="n"/>
      <c r="J230" s="7" t="inlineStr">
        <is>
          <t>—</t>
        </is>
      </c>
      <c r="K230" s="7" t="inlineStr"/>
      <c r="L230" s="7" t="inlineStr"/>
      <c r="M230" s="7" t="inlineStr"/>
    </row>
    <row r="231">
      <c r="A231" s="7" t="inlineStr">
        <is>
          <t>C-D8-03</t>
        </is>
      </c>
      <c r="B231" s="7" t="inlineStr">
        <is>
          <t>80 % prediction ranges (split-conformal), calibrated for the exact serving pipeline</t>
        </is>
      </c>
      <c r="C231" s="7" t="inlineStr">
        <is>
          <t>Deck s8</t>
        </is>
      </c>
      <c r="D231" s="7" t="inlineStr">
        <is>
          <t>Serving model, final test segment (later recordings of the same 14 people; retrospective, inspected)</t>
        </is>
      </c>
      <c r="E231" s="7" t="inlineStr">
        <is>
          <t>supported</t>
        </is>
      </c>
      <c r="F231" s="7" t="inlineStr">
        <is>
          <t>const.target_cov; fus.iv.q30; fus.iv.q60</t>
        </is>
      </c>
      <c r="G231" s="8">
        <f>IF(AND(ISNUMBER(Sources!$C$493)),Sources!$C$493*100,"unavailable")</f>
        <v/>
      </c>
      <c r="H231" s="7" t="n">
        <v>80</v>
      </c>
      <c r="I231" s="7" t="n">
        <v>0</v>
      </c>
      <c r="J231" s="7">
        <f>IF(ISNUMBER(G231),IF(ABS(G231-H231)&lt;=0.5*10^(-I231)+1E-9,"matches","MISMATCH"),"pending")</f>
        <v/>
      </c>
      <c r="K231" s="7" t="inlineStr"/>
      <c r="L231" s="7" t="inlineStr"/>
      <c r="M231" s="7" t="inlineStr"/>
    </row>
    <row r="232">
      <c r="A232" s="7" t="inlineStr">
        <is>
          <t>C-D8-04</t>
        </is>
      </c>
      <c r="B232" s="7" t="inlineStr">
        <is>
          <t>Warning score: highest forecast in the next 60 min minus 180 mg/dL — not a probability</t>
        </is>
      </c>
      <c r="C232" s="7" t="inlineStr">
        <is>
          <t>Deck s8</t>
        </is>
      </c>
      <c r="D232" s="7" t="inlineStr">
        <is>
          <t>Serving software</t>
        </is>
      </c>
      <c r="E232" s="7" t="inlineStr">
        <is>
          <t>implemented</t>
        </is>
      </c>
      <c r="F232" s="7" t="inlineStr">
        <is>
          <t>cfg.threshold</t>
        </is>
      </c>
      <c r="G232" s="8">
        <f>IF(AND(ISNUMBER(Sources!$C$486)),Sources!$C$486,"unavailable")</f>
        <v/>
      </c>
      <c r="H232" s="7" t="n">
        <v>180</v>
      </c>
      <c r="I232" s="7" t="n">
        <v>0</v>
      </c>
      <c r="J232" s="7">
        <f>IF(ISNUMBER(G232),IF(ABS(G232-H232)&lt;=0.5*10^(-I232)+1E-9,"matches","MISMATCH"),"pending")</f>
        <v/>
      </c>
      <c r="K232" s="7" t="inlineStr"/>
      <c r="L232" s="7" t="inlineStr"/>
      <c r="M232" s="7" t="inlineStr"/>
    </row>
    <row r="233">
      <c r="A233" s="7" t="inlineStr">
        <is>
          <t>C-D9-10</t>
        </is>
      </c>
      <c r="B233" s="7" t="inlineStr">
        <is>
          <t>Rule: lowest mean per-participant validation MAE over both horizons; within 0.5 mg/dL → simpler model</t>
        </is>
      </c>
      <c r="C233" s="7" t="inlineStr">
        <is>
          <t>Deck s9</t>
        </is>
      </c>
      <c r="D233" s="7" t="inlineStr">
        <is>
          <t>Serving model, final test segment (later recordings of the same 14 people; retrospective, inspected)</t>
        </is>
      </c>
      <c r="E233" s="7" t="inlineStr">
        <is>
          <t>supported</t>
        </is>
      </c>
      <c r="F233" s="7" t="inlineStr">
        <is>
          <t>fus.selection_rule</t>
        </is>
      </c>
      <c r="G233" s="7" t="inlineStr">
        <is>
          <t>—</t>
        </is>
      </c>
      <c r="H233" s="7" t="inlineStr">
        <is>
          <t>—</t>
        </is>
      </c>
      <c r="I233" s="7" t="n"/>
      <c r="J233" s="7" t="inlineStr">
        <is>
          <t>—</t>
        </is>
      </c>
      <c r="K233" s="7" t="inlineStr"/>
      <c r="L233" s="7" t="inlineStr"/>
      <c r="M233" s="7" t="inlineStr"/>
    </row>
    <row r="234">
      <c r="A234" s="7" t="inlineStr">
        <is>
          <t>C-D9-11</t>
        </is>
      </c>
      <c r="B234" s="7" t="inlineStr">
        <is>
          <t>Only dyn-prof-v2 eligible (fusion constraint added 2026-10-13, after the test segment had been inspected)</t>
        </is>
      </c>
      <c r="C234" s="7" t="inlineStr">
        <is>
          <t>Deck s9</t>
        </is>
      </c>
      <c r="D234" s="7" t="inlineStr">
        <is>
          <t>Serving model, final test segment (later recordings of the same 14 people; retrospective, inspected)</t>
        </is>
      </c>
      <c r="E234" s="7" t="inlineStr">
        <is>
          <t>supported</t>
        </is>
      </c>
      <c r="F234" s="7" t="inlineStr">
        <is>
          <t>fus.selection_rule; decisions (D-038)</t>
        </is>
      </c>
      <c r="G234" s="7" t="inlineStr">
        <is>
          <t>—</t>
        </is>
      </c>
      <c r="H234" s="7" t="inlineStr">
        <is>
          <t>—</t>
        </is>
      </c>
      <c r="I234" s="7" t="n"/>
      <c r="J234" s="7" t="inlineStr">
        <is>
          <t>—</t>
        </is>
      </c>
      <c r="K234" s="7" t="inlineStr"/>
      <c r="L234" s="7" t="inlineStr"/>
      <c r="M234" s="7" t="inlineStr"/>
    </row>
    <row r="235">
      <c r="A235" s="7" t="inlineStr">
        <is>
          <t>C-D9-12</t>
        </is>
      </c>
      <c r="B235" s="7" t="inlineStr">
        <is>
          <t>Selected: lightgbm:dyn-prof-v2 with patient correction</t>
        </is>
      </c>
      <c r="C235" s="7" t="inlineStr">
        <is>
          <t>Deck s9</t>
        </is>
      </c>
      <c r="D235" s="7" t="inlineStr">
        <is>
          <t>Serving model, final test segment (later recordings of the same 14 people; retrospective, inspected)</t>
        </is>
      </c>
      <c r="E235" s="7" t="inlineStr">
        <is>
          <t>supported</t>
        </is>
      </c>
      <c r="F235" s="7" t="inlineStr">
        <is>
          <t>sel.selected; reg.serving</t>
        </is>
      </c>
      <c r="G235" s="7" t="inlineStr">
        <is>
          <t>—</t>
        </is>
      </c>
      <c r="H235" s="7" t="inlineStr">
        <is>
          <t>—</t>
        </is>
      </c>
      <c r="I235" s="7" t="n"/>
      <c r="J235" s="7" t="inlineStr">
        <is>
          <t>—</t>
        </is>
      </c>
      <c r="K235" s="7" t="inlineStr"/>
      <c r="L235" s="7" t="inlineStr"/>
      <c r="M235" s="7" t="inlineStr"/>
    </row>
    <row r="236">
      <c r="A236" s="7" t="inlineStr">
        <is>
          <t>C-D9-13</t>
        </is>
      </c>
      <c r="B236" s="7" t="inlineStr">
        <is>
          <t>Without the constraint the rule picks lightgbm:dyn-v2 (gt-primary-2026-10-11-v2)</t>
        </is>
      </c>
      <c r="C236" s="7" t="inlineStr">
        <is>
          <t>Deck s9</t>
        </is>
      </c>
      <c r="D236" s="7" t="inlineStr">
        <is>
          <t>Serving model, final test segment (later recordings of the same 14 people; retrospective, inspected)</t>
        </is>
      </c>
      <c r="E236" s="7" t="inlineStr">
        <is>
          <t>supported</t>
        </is>
      </c>
      <c r="F236" s="7" t="inlineStr">
        <is>
          <t>sel.v2_selected</t>
        </is>
      </c>
      <c r="G236" s="7" t="inlineStr">
        <is>
          <t>—</t>
        </is>
      </c>
      <c r="H236" s="7" t="inlineStr">
        <is>
          <t>—</t>
        </is>
      </c>
      <c r="I236" s="7" t="n"/>
      <c r="J236" s="7" t="inlineStr">
        <is>
          <t>—</t>
        </is>
      </c>
      <c r="K236" s="7" t="inlineStr"/>
      <c r="L236" s="7" t="inlineStr"/>
      <c r="M236" s="7" t="inlineStr"/>
    </row>
    <row r="237">
      <c r="A237" s="7" t="inlineStr">
        <is>
          <t>C-D12-01</t>
        </is>
      </c>
      <c r="B237" s="7" t="inlineStr">
        <is>
          <t>amazon/chronos-bolt-tiny, 8.7 M parameters, apache-2.0, zero-shot on CGM only</t>
        </is>
      </c>
      <c r="C237" s="7" t="inlineStr">
        <is>
          <t>Deck s12</t>
        </is>
      </c>
      <c r="D237" s="7" t="inlineStr">
        <is>
          <t>Research baseline (D-054)</t>
        </is>
      </c>
      <c r="E237" s="7" t="inlineStr">
        <is>
          <t>supported</t>
        </is>
      </c>
      <c r="F237" s="7" t="inlineStr">
        <is>
          <t>fd.params; fd.checkpoint; fd.license</t>
        </is>
      </c>
      <c r="G237" s="8">
        <f>IF(AND(ISNUMBER(Sources!$C$524)),Sources!$C$524/1000000,"unavailable")</f>
        <v/>
      </c>
      <c r="H237" s="7" t="n">
        <v>8.699999999999999</v>
      </c>
      <c r="I237" s="7" t="n">
        <v>1</v>
      </c>
      <c r="J237" s="7">
        <f>IF(ISNUMBER(G237),IF(ABS(G237-H237)&lt;=0.5*10^(-I237)+1E-9,"matches","MISMATCH"),"pending")</f>
        <v/>
      </c>
      <c r="K237" s="7" t="inlineStr"/>
      <c r="L237" s="7" t="inlineStr"/>
      <c r="M237" s="7" t="inlineStr"/>
    </row>
    <row r="238">
      <c r="A238" s="7" t="inlineStr">
        <is>
          <t>C-D12-02</t>
        </is>
      </c>
      <c r="B238" s="7" t="inlineStr">
        <is>
          <t>Foundation vs persistence −0.79 [−1.01, −0.59] mg/dL at 30 min</t>
        </is>
      </c>
      <c r="C238" s="7" t="inlineStr">
        <is>
          <t>Deck s12</t>
        </is>
      </c>
      <c r="D238" s="7" t="inlineStr">
        <is>
          <t>Participant-held-out internal (14 CGMacros people, each held out once; previously inspected)</t>
        </is>
      </c>
      <c r="E238" s="7" t="inlineStr">
        <is>
          <t>supported</t>
        </is>
      </c>
      <c r="F238" s="7" t="inlineStr">
        <is>
          <t>fd.fp30.mean</t>
        </is>
      </c>
      <c r="G238" s="8">
        <f>IF(AND(ISNUMBER(Sources!$C$520)),Sources!$C$520,"unavailable")</f>
        <v/>
      </c>
      <c r="H238" s="7" t="n">
        <v>-0.79</v>
      </c>
      <c r="I238" s="7" t="n">
        <v>2</v>
      </c>
      <c r="J238" s="7">
        <f>IF(ISNUMBER(G238),IF(ABS(G238-H238)&lt;=0.5*10^(-I238)+1E-9,"matches","MISMATCH"),"pending")</f>
        <v/>
      </c>
      <c r="K238" s="7" t="inlineStr"/>
      <c r="L238" s="7" t="inlineStr"/>
      <c r="M238" s="7" t="inlineStr"/>
    </row>
    <row r="239">
      <c r="A239" s="7" t="inlineStr">
        <is>
          <t>C-D12-03</t>
        </is>
      </c>
      <c r="B239" s="7" t="inlineStr">
        <is>
          <t>30-min CI lower −1.01</t>
        </is>
      </c>
      <c r="C239" s="7" t="inlineStr">
        <is>
          <t>Deck s12</t>
        </is>
      </c>
      <c r="D239" s="7" t="inlineStr">
        <is>
          <t>Participant-held-out internal (14 CGMacros people, each held out once; previously inspected)</t>
        </is>
      </c>
      <c r="E239" s="7" t="inlineStr">
        <is>
          <t>supported</t>
        </is>
      </c>
      <c r="F239" s="7" t="inlineStr">
        <is>
          <t>fd.fp30.lo</t>
        </is>
      </c>
      <c r="G239" s="8">
        <f>IF(AND(ISNUMBER(Sources!$C$521)),Sources!$C$521,"unavailable")</f>
        <v/>
      </c>
      <c r="H239" s="7" t="n">
        <v>-1.01</v>
      </c>
      <c r="I239" s="7" t="n">
        <v>2</v>
      </c>
      <c r="J239" s="7">
        <f>IF(ISNUMBER(G239),IF(ABS(G239-H239)&lt;=0.5*10^(-I239)+1E-9,"matches","MISMATCH"),"pending")</f>
        <v/>
      </c>
      <c r="K239" s="7" t="inlineStr"/>
      <c r="L239" s="7" t="inlineStr"/>
      <c r="M239" s="7" t="inlineStr"/>
    </row>
    <row r="240">
      <c r="A240" s="7" t="inlineStr">
        <is>
          <t>C-D12-04</t>
        </is>
      </c>
      <c r="B240" s="7" t="inlineStr">
        <is>
          <t>30-min CI upper −0.59</t>
        </is>
      </c>
      <c r="C240" s="7" t="inlineStr">
        <is>
          <t>Deck s12</t>
        </is>
      </c>
      <c r="D240" s="7" t="inlineStr">
        <is>
          <t>Participant-held-out internal (14 CGMacros people, each held out once; previously inspected)</t>
        </is>
      </c>
      <c r="E240" s="7" t="inlineStr">
        <is>
          <t>supported</t>
        </is>
      </c>
      <c r="F240" s="7" t="inlineStr">
        <is>
          <t>fd.fp30.hi</t>
        </is>
      </c>
      <c r="G240" s="8">
        <f>IF(AND(ISNUMBER(Sources!$C$522)),Sources!$C$522,"unavailable")</f>
        <v/>
      </c>
      <c r="H240" s="7" t="n">
        <v>-0.59</v>
      </c>
      <c r="I240" s="7" t="n">
        <v>2</v>
      </c>
      <c r="J240" s="7">
        <f>IF(ISNUMBER(G240),IF(ABS(G240-H240)&lt;=0.5*10^(-I240)+1E-9,"matches","MISMATCH"),"pending")</f>
        <v/>
      </c>
      <c r="K240" s="7" t="inlineStr"/>
      <c r="L240" s="7" t="inlineStr"/>
      <c r="M240" s="7" t="inlineStr"/>
    </row>
    <row r="241">
      <c r="A241" s="7" t="inlineStr">
        <is>
          <t>C-D12-05</t>
        </is>
      </c>
      <c r="B241" s="7" t="inlineStr">
        <is>
          <t>Foundation vs persistence 60-min CI lower −1.81</t>
        </is>
      </c>
      <c r="C241" s="7" t="inlineStr">
        <is>
          <t>Deck s12</t>
        </is>
      </c>
      <c r="D241" s="7" t="inlineStr">
        <is>
          <t>Participant-held-out internal (14 CGMacros people, each held out once; previously inspected)</t>
        </is>
      </c>
      <c r="E241" s="7" t="inlineStr">
        <is>
          <t>supported</t>
        </is>
      </c>
      <c r="F241" s="7" t="inlineStr">
        <is>
          <t>fd.fp.lo</t>
        </is>
      </c>
      <c r="G241" s="8">
        <f>IF(AND(ISNUMBER(Sources!$C$438)),Sources!$C$438,"unavailable")</f>
        <v/>
      </c>
      <c r="H241" s="7" t="n">
        <v>-1.81</v>
      </c>
      <c r="I241" s="7" t="n">
        <v>2</v>
      </c>
      <c r="J241" s="7">
        <f>IF(ISNUMBER(G241),IF(ABS(G241-H241)&lt;=0.5*10^(-I241)+1E-9,"matches","MISMATCH"),"pending")</f>
        <v/>
      </c>
      <c r="K241" s="7" t="inlineStr"/>
      <c r="L241" s="7" t="inlineStr"/>
      <c r="M241" s="7" t="inlineStr"/>
    </row>
    <row r="242">
      <c r="A242" s="7" t="inlineStr">
        <is>
          <t>C-D12-06</t>
        </is>
      </c>
      <c r="B242" s="7" t="inlineStr">
        <is>
          <t>Foundation vs persistence 60-min CI upper −1.30</t>
        </is>
      </c>
      <c r="C242" s="7" t="inlineStr">
        <is>
          <t>Deck s12</t>
        </is>
      </c>
      <c r="D242" s="7" t="inlineStr">
        <is>
          <t>Participant-held-out internal (14 CGMacros people, each held out once; previously inspected)</t>
        </is>
      </c>
      <c r="E242" s="7" t="inlineStr">
        <is>
          <t>supported</t>
        </is>
      </c>
      <c r="F242" s="7" t="inlineStr">
        <is>
          <t>fd.fp.hi</t>
        </is>
      </c>
      <c r="G242" s="8">
        <f>IF(AND(ISNUMBER(Sources!$C$439)),Sources!$C$439,"unavailable")</f>
        <v/>
      </c>
      <c r="H242" s="7" t="n">
        <v>-1.3</v>
      </c>
      <c r="I242" s="7" t="n">
        <v>2</v>
      </c>
      <c r="J242" s="7">
        <f>IF(ISNUMBER(G242),IF(ABS(G242-H242)&lt;=0.5*10^(-I242)+1E-9,"matches","MISMATCH"),"pending")</f>
        <v/>
      </c>
      <c r="K242" s="7" t="inlineStr"/>
      <c r="L242" s="7" t="inlineStr"/>
      <c r="M242" s="7" t="inlineStr"/>
    </row>
    <row r="243">
      <c r="A243" s="7" t="inlineStr">
        <is>
          <t>C-D12-07</t>
        </is>
      </c>
      <c r="B243" s="7" t="inlineStr">
        <is>
          <t>Foundation vs refitted recipe CI [−0.70, +1.47] (lower)</t>
        </is>
      </c>
      <c r="C243" s="7" t="inlineStr">
        <is>
          <t>Deck s12</t>
        </is>
      </c>
      <c r="D243" s="7" t="inlineStr">
        <is>
          <t>Participant-held-out internal (14 CGMacros people, each held out once; previously inspected)</t>
        </is>
      </c>
      <c r="E243" s="7" t="inlineStr">
        <is>
          <t>supported</t>
        </is>
      </c>
      <c r="F243" s="7" t="inlineStr">
        <is>
          <t>fd.fr.lo</t>
        </is>
      </c>
      <c r="G243" s="8">
        <f>IF(AND(ISNUMBER(Sources!$C$442)),Sources!$C$442,"unavailable")</f>
        <v/>
      </c>
      <c r="H243" s="7" t="n">
        <v>-0.7</v>
      </c>
      <c r="I243" s="7" t="n">
        <v>2</v>
      </c>
      <c r="J243" s="7">
        <f>IF(ISNUMBER(G243),IF(ABS(G243-H243)&lt;=0.5*10^(-I243)+1E-9,"matches","MISMATCH"),"pending")</f>
        <v/>
      </c>
      <c r="K243" s="7" t="inlineStr"/>
      <c r="L243" s="7" t="inlineStr"/>
      <c r="M243" s="7" t="inlineStr"/>
    </row>
    <row r="244">
      <c r="A244" s="7" t="inlineStr">
        <is>
          <t>C-D12-08</t>
        </is>
      </c>
      <c r="B244" s="7" t="inlineStr">
        <is>
          <t>Foundation vs refitted recipe CI upper +1.47</t>
        </is>
      </c>
      <c r="C244" s="7" t="inlineStr">
        <is>
          <t>Deck s12</t>
        </is>
      </c>
      <c r="D244" s="7" t="inlineStr">
        <is>
          <t>Participant-held-out internal (14 CGMacros people, each held out once; previously inspected)</t>
        </is>
      </c>
      <c r="E244" s="7" t="inlineStr">
        <is>
          <t>supported</t>
        </is>
      </c>
      <c r="F244" s="7" t="inlineStr">
        <is>
          <t>fd.fr.hi</t>
        </is>
      </c>
      <c r="G244" s="8">
        <f>IF(AND(ISNUMBER(Sources!$C$443)),Sources!$C$443,"unavailable")</f>
        <v/>
      </c>
      <c r="H244" s="7" t="n">
        <v>1.47</v>
      </c>
      <c r="I244" s="7" t="n">
        <v>2</v>
      </c>
      <c r="J244" s="7">
        <f>IF(ISNUMBER(G244),IF(ABS(G244-H244)&lt;=0.5*10^(-I244)+1E-9,"matches","MISMATCH"),"pending")</f>
        <v/>
      </c>
      <c r="K244" s="7" t="inlineStr"/>
      <c r="L244" s="7" t="inlineStr"/>
      <c r="M244" s="7" t="inlineStr"/>
    </row>
    <row r="245">
      <c r="A245" s="7" t="inlineStr">
        <is>
          <t>C-D12-09</t>
        </is>
      </c>
      <c r="B245" s="7" t="inlineStr">
        <is>
          <t>Foundation worse above 180 mg/dL than the refitted recipe</t>
        </is>
      </c>
      <c r="C245" s="7" t="inlineStr">
        <is>
          <t>Deck s12</t>
        </is>
      </c>
      <c r="D245" s="7" t="inlineStr">
        <is>
          <t>Participant-held-out internal (14 CGMacros people, each held out once; previously inspected)</t>
        </is>
      </c>
      <c r="E245" s="7" t="inlineStr">
        <is>
          <t>negative-result</t>
        </is>
      </c>
      <c r="F245" s="7" t="inlineStr">
        <is>
          <t>fd.high.FM; fd.high.R0; fd.high.FM; fd.high.R0</t>
        </is>
      </c>
      <c r="G245" s="8">
        <f>IF(AND(ISNUMBER(Sources!$C$449),ISNUMBER(Sources!$C$450)),Sources!$C$449-Sources!$C$450,"unavailable")</f>
        <v/>
      </c>
      <c r="H245" s="7" t="inlineStr">
        <is>
          <t>—</t>
        </is>
      </c>
      <c r="I245" s="7" t="n"/>
      <c r="J245" s="7" t="inlineStr">
        <is>
          <t>see limitation</t>
        </is>
      </c>
      <c r="K245" s="7" t="inlineStr">
        <is>
          <t>Positive difference = foundation worse</t>
        </is>
      </c>
      <c r="L245" s="7" t="inlineStr"/>
      <c r="M245" s="7" t="inlineStr"/>
    </row>
    <row r="246">
      <c r="A246" s="7" t="inlineStr">
        <is>
          <t>C-D12-10</t>
        </is>
      </c>
      <c r="B246" s="7" t="inlineStr">
        <is>
          <t>Its pretraining data may include public CGM recordings</t>
        </is>
      </c>
      <c r="C246" s="7" t="inlineStr">
        <is>
          <t>Deck s12</t>
        </is>
      </c>
      <c r="D246" s="7" t="inlineStr">
        <is>
          <t>Disclosure</t>
        </is>
      </c>
      <c r="E246" s="7" t="inlineStr">
        <is>
          <t>author-reported</t>
        </is>
      </c>
      <c r="F246" s="7" t="inlineStr"/>
      <c r="G246" s="7" t="inlineStr">
        <is>
          <t>—</t>
        </is>
      </c>
      <c r="H246" s="7" t="inlineStr">
        <is>
          <t>—</t>
        </is>
      </c>
      <c r="I246" s="7" t="n"/>
      <c r="J246" s="7" t="inlineStr">
        <is>
          <t>—</t>
        </is>
      </c>
      <c r="K246" s="7" t="inlineStr">
        <is>
          <t>A caution, not a measured fact</t>
        </is>
      </c>
      <c r="L246" s="7" t="inlineStr">
        <is>
          <t>See limitation</t>
        </is>
      </c>
      <c r="M246" s="7" t="inlineStr"/>
    </row>
    <row r="247">
      <c r="A247" s="7" t="inlineStr">
        <is>
          <t>C-D13-01</t>
        </is>
      </c>
      <c r="B247" s="7" t="inlineStr">
        <is>
          <t>Built: replay API, immutable forecasts, warnings with outcomes, clinician workspace</t>
        </is>
      </c>
      <c r="C247" s="7" t="inlineStr">
        <is>
          <t>Deck s13</t>
        </is>
      </c>
      <c r="D247" s="7" t="inlineStr">
        <is>
          <t>Serving software</t>
        </is>
      </c>
      <c r="E247" s="7" t="inlineStr">
        <is>
          <t>tested</t>
        </is>
      </c>
      <c r="F247" s="7" t="inlineStr">
        <is>
          <t>tests.test_replay_api::test_forward_replay_equals_reset_and_seek; e2e: Participant 01: a warning is pending until its outcome is knowable</t>
        </is>
      </c>
      <c r="G247" s="7" t="inlineStr">
        <is>
          <t>—</t>
        </is>
      </c>
      <c r="H247" s="7" t="inlineStr">
        <is>
          <t>—</t>
        </is>
      </c>
      <c r="I247" s="7" t="n"/>
      <c r="J247" s="7" t="inlineStr">
        <is>
          <t>—</t>
        </is>
      </c>
      <c r="K247" s="7" t="inlineStr"/>
      <c r="L247" s="7" t="inlineStr"/>
      <c r="M247" s="7" t="inlineStr"/>
    </row>
    <row r="248">
      <c r="A248" s="7" t="inlineStr">
        <is>
          <t>C-D13-02</t>
        </is>
      </c>
      <c r="B248" s="7" t="inlineStr">
        <is>
          <t>Reproducible: synthetic mode needs no download; results regenerate from versioned configs</t>
        </is>
      </c>
      <c r="C248" s="7" t="inlineStr">
        <is>
          <t>Deck s13</t>
        </is>
      </c>
      <c r="D248" s="7" t="inlineStr">
        <is>
          <t>Software</t>
        </is>
      </c>
      <c r="E248" s="7" t="inlineStr">
        <is>
          <t>tested</t>
        </is>
      </c>
      <c r="F248" s="7" t="inlineStr">
        <is>
          <t>tests.test_replay_api::test_synthetic_demo_runs_without_dataset</t>
        </is>
      </c>
      <c r="G248" s="7" t="inlineStr">
        <is>
          <t>—</t>
        </is>
      </c>
      <c r="H248" s="7" t="inlineStr">
        <is>
          <t>—</t>
        </is>
      </c>
      <c r="I248" s="7" t="n"/>
      <c r="J248" s="7" t="inlineStr">
        <is>
          <t>—</t>
        </is>
      </c>
      <c r="K248" s="7" t="inlineStr"/>
      <c r="L248" s="7" t="inlineStr"/>
      <c r="M248" s="7" t="inlineStr"/>
    </row>
    <row r="249">
      <c r="A249" s="7" t="inlineStr">
        <is>
          <t>C-D14-01</t>
        </is>
      </c>
      <c r="B249" s="7" t="inlineStr">
        <is>
          <t>14 participants from one US site; no Indian participants</t>
        </is>
      </c>
      <c r="C249" s="7" t="inlineStr">
        <is>
          <t>Deck s14</t>
        </is>
      </c>
      <c r="D249" s="7" t="inlineStr">
        <is>
          <t>Limitation</t>
        </is>
      </c>
      <c r="E249" s="7" t="inlineStr">
        <is>
          <t>supported</t>
        </is>
      </c>
      <c r="F249" s="7" t="inlineStr">
        <is>
          <t>fus.participants; data_card</t>
        </is>
      </c>
      <c r="G249" s="8">
        <f>IF(AND(ISNUMBER(Sources!$C$115)),Sources!$C$115,"unavailable")</f>
        <v/>
      </c>
      <c r="H249" s="7" t="n">
        <v>14</v>
      </c>
      <c r="I249" s="7" t="n">
        <v>0</v>
      </c>
      <c r="J249" s="7">
        <f>IF(ISNUMBER(G249),IF(ABS(G249-H249)&lt;=0.5*10^(-I249)+1E-9,"matches","MISMATCH"),"pending")</f>
        <v/>
      </c>
      <c r="K249" s="7" t="inlineStr"/>
      <c r="L249" s="7" t="inlineStr"/>
      <c r="M249" s="7" t="inlineStr"/>
    </row>
    <row r="250">
      <c r="A250" s="7" t="inlineStr">
        <is>
          <t>C-D14-02</t>
        </is>
      </c>
      <c r="B250" s="7" t="inlineStr">
        <is>
          <t>Blinded CGMs replayed with assumed zero latency; medication and meal timing unknown</t>
        </is>
      </c>
      <c r="C250" s="7" t="inlineStr">
        <is>
          <t>Deck s14</t>
        </is>
      </c>
      <c r="D250" s="7" t="inlineStr">
        <is>
          <t>Limitation</t>
        </is>
      </c>
      <c r="E250" s="7" t="inlineStr">
        <is>
          <t>supported</t>
        </is>
      </c>
      <c r="F250" s="7" t="inlineStr">
        <is>
          <t>data_card; docs/model_card.md</t>
        </is>
      </c>
      <c r="G250" s="7" t="inlineStr">
        <is>
          <t>—</t>
        </is>
      </c>
      <c r="H250" s="7" t="inlineStr">
        <is>
          <t>—</t>
        </is>
      </c>
      <c r="I250" s="7" t="n"/>
      <c r="J250" s="7" t="inlineStr">
        <is>
          <t>—</t>
        </is>
      </c>
      <c r="K250" s="7" t="inlineStr"/>
      <c r="L250" s="7" t="inlineStr"/>
      <c r="M250" s="7" t="inlineStr"/>
    </row>
    <row r="251">
      <c r="A251" s="7" t="inlineStr">
        <is>
          <t>C-D14-03</t>
        </is>
      </c>
      <c r="B251" s="7" t="inlineStr">
        <is>
          <t>Ranges under-cover (74.2 % / 74.0 % vs 80 % target)</t>
        </is>
      </c>
      <c r="C251" s="7" t="inlineStr">
        <is>
          <t>Deck s14; Deck s11</t>
        </is>
      </c>
      <c r="D251" s="7" t="inlineStr">
        <is>
          <t>Serving model, final test segment (later recordings of the same 14 people; retrospective, inspected)</t>
        </is>
      </c>
      <c r="E251" s="7" t="inlineStr">
        <is>
          <t>supported</t>
        </is>
      </c>
      <c r="F251" s="7" t="inlineStr">
        <is>
          <t>fus.iv.coverage30; const.target_cov; fus.iv.coverage60</t>
        </is>
      </c>
      <c r="G251" s="8">
        <f>IF(AND(ISNUMBER(Sources!$C$79),ISNUMBER(Sources!$C$493)),(Sources!$C$79-Sources!$C$493)*100,"unavailable")</f>
        <v/>
      </c>
      <c r="H251" s="7" t="inlineStr">
        <is>
          <t>—</t>
        </is>
      </c>
      <c r="I251" s="7" t="n"/>
      <c r="J251" s="7" t="inlineStr">
        <is>
          <t>see limitation</t>
        </is>
      </c>
      <c r="K251" s="7" t="inlineStr">
        <is>
          <t>Negative = under-coverage</t>
        </is>
      </c>
      <c r="L251" s="7" t="inlineStr"/>
      <c r="M251" s="7" t="inlineStr"/>
    </row>
    <row r="252">
      <c r="A252" s="7" t="inlineStr">
        <is>
          <t>C-D14-04</t>
        </is>
      </c>
      <c r="B252" s="7" t="inlineStr">
        <is>
          <t>The warning threshold ignores review workload</t>
        </is>
      </c>
      <c r="C252" s="7" t="inlineStr">
        <is>
          <t>Deck s14</t>
        </is>
      </c>
      <c r="D252" s="7" t="inlineStr">
        <is>
          <t>Limitation</t>
        </is>
      </c>
      <c r="E252" s="7" t="inlineStr">
        <is>
          <t>author-reported</t>
        </is>
      </c>
      <c r="F252" s="7" t="inlineStr"/>
      <c r="G252" s="7" t="inlineStr">
        <is>
          <t>—</t>
        </is>
      </c>
      <c r="H252" s="7" t="inlineStr">
        <is>
          <t>—</t>
        </is>
      </c>
      <c r="I252" s="7" t="n"/>
      <c r="J252" s="7" t="inlineStr">
        <is>
          <t>—</t>
        </is>
      </c>
      <c r="K252" s="7" t="inlineStr">
        <is>
          <t>Threshold chosen by event F1 on validation (implemented); the workload statement is a design observation</t>
        </is>
      </c>
      <c r="L252" s="7" t="inlineStr">
        <is>
          <t>See limitation</t>
        </is>
      </c>
      <c r="M252" s="7" t="inlineStr"/>
    </row>
    <row r="253">
      <c r="A253" s="7" t="inlineStr">
        <is>
          <t>C-D14-05</t>
        </is>
      </c>
      <c r="B253" s="7" t="inlineStr">
        <is>
          <t>Retrospective replay only — no clinical, workflow or safety study</t>
        </is>
      </c>
      <c r="C253" s="7" t="inlineStr">
        <is>
          <t>Deck s14</t>
        </is>
      </c>
      <c r="D253" s="7" t="inlineStr">
        <is>
          <t>Limitation</t>
        </is>
      </c>
      <c r="E253" s="7" t="inlineStr">
        <is>
          <t>supported</t>
        </is>
      </c>
      <c r="F253" s="7" t="inlineStr">
        <is>
          <t>README; docs/model_card.md</t>
        </is>
      </c>
      <c r="G253" s="7" t="inlineStr">
        <is>
          <t>—</t>
        </is>
      </c>
      <c r="H253" s="7" t="inlineStr">
        <is>
          <t>—</t>
        </is>
      </c>
      <c r="I253" s="7" t="n"/>
      <c r="J253" s="7" t="inlineStr">
        <is>
          <t>—</t>
        </is>
      </c>
      <c r="K253" s="7" t="inlineStr"/>
      <c r="L253" s="7" t="inlineStr"/>
      <c r="M253" s="7" t="inlineStr"/>
    </row>
    <row r="254">
      <c r="A254" s="7" t="inlineStr">
        <is>
          <t>C-D14-06</t>
        </is>
      </c>
      <c r="B254" s="7" t="inlineStr">
        <is>
          <t>Next: a prospective, consented Indian cohort and a full-fusion evaluation on new people</t>
        </is>
      </c>
      <c r="C254" s="7" t="inlineStr">
        <is>
          <t>Deck s14</t>
        </is>
      </c>
      <c r="D254" s="7" t="inlineStr">
        <is>
          <t>Proposal</t>
        </is>
      </c>
      <c r="E254" s="7" t="inlineStr">
        <is>
          <t>proposed/illustrative</t>
        </is>
      </c>
      <c r="F254" s="7" t="inlineStr"/>
      <c r="G254" s="7" t="inlineStr">
        <is>
          <t>—</t>
        </is>
      </c>
      <c r="H254" s="7" t="inlineStr">
        <is>
          <t>—</t>
        </is>
      </c>
      <c r="I254" s="7" t="n"/>
      <c r="J254" s="7" t="inlineStr">
        <is>
          <t>—</t>
        </is>
      </c>
      <c r="K254" s="7" t="inlineStr"/>
      <c r="L254" s="7" t="inlineStr"/>
      <c r="M254" s="7" t="inlineStr"/>
    </row>
    <row r="255">
      <c r="A255" s="7" t="inlineStr">
        <is>
          <t>C-D15-01</t>
        </is>
      </c>
      <c r="B255" s="7" t="inlineStr">
        <is>
          <t>Code: MIT license (code only); quick start make setup · make synthetic · make dev</t>
        </is>
      </c>
      <c r="C255" s="7" t="inlineStr">
        <is>
          <t>Deck s15</t>
        </is>
      </c>
      <c r="D255" s="7" t="inlineStr">
        <is>
          <t>Repository</t>
        </is>
      </c>
      <c r="E255" s="7" t="inlineStr">
        <is>
          <t>supported</t>
        </is>
      </c>
      <c r="F255" s="7" t="inlineStr">
        <is>
          <t>submission (license.software MIT); LICENSE; Makefile</t>
        </is>
      </c>
      <c r="G255" s="7" t="inlineStr">
        <is>
          <t>—</t>
        </is>
      </c>
      <c r="H255" s="7" t="inlineStr">
        <is>
          <t>—</t>
        </is>
      </c>
      <c r="I255" s="7" t="n"/>
      <c r="J255" s="7" t="inlineStr">
        <is>
          <t>—</t>
        </is>
      </c>
      <c r="K255" s="7" t="inlineStr"/>
      <c r="L255" s="7" t="inlineStr"/>
      <c r="M255" s="7" t="inlineStr"/>
    </row>
    <row r="256">
      <c r="A256" s="7" t="inlineStr">
        <is>
          <t>C-D15-02</t>
        </is>
      </c>
      <c r="B256" s="7" t="inlineStr">
        <is>
          <t>Public GitHub link and demo video added after publication/upload</t>
        </is>
      </c>
      <c r="C256" s="7" t="inlineStr">
        <is>
          <t>Deck s15</t>
        </is>
      </c>
      <c r="D256" s="7" t="inlineStr">
        <is>
          <t>Submission status</t>
        </is>
      </c>
      <c r="E256" s="7" t="inlineStr">
        <is>
          <t>pending</t>
        </is>
      </c>
      <c r="F256" s="7" t="inlineStr"/>
      <c r="G256" s="7" t="inlineStr">
        <is>
          <t>—</t>
        </is>
      </c>
      <c r="H256" s="7" t="inlineStr">
        <is>
          <t>—</t>
        </is>
      </c>
      <c r="I256" s="7" t="n"/>
      <c r="J256" s="7" t="inlineStr">
        <is>
          <t>—</t>
        </is>
      </c>
      <c r="K256" s="7" t="inlineStr"/>
      <c r="L256" s="7" t="inlineStr">
        <is>
          <t>Fill links.repository and links.video in configs/submission.yaml after the team publishes and uploads</t>
        </is>
      </c>
      <c r="M256" s="7" t="inlineStr"/>
    </row>
    <row r="257">
      <c r="A257" s="7" t="inlineStr">
        <is>
          <t>C-D15-03</t>
        </is>
      </c>
      <c r="B257" s="7" t="inlineStr">
        <is>
          <t>ShanghaiT2DM (figshare, doi:10.6084/m9.figshare.21600933.v5, CC BY 4.0)</t>
        </is>
      </c>
      <c r="C257" s="7" t="inlineStr">
        <is>
          <t>Deck s15</t>
        </is>
      </c>
      <c r="D257" s="7" t="inlineStr">
        <is>
          <t>Dataset licence</t>
        </is>
      </c>
      <c r="E257" s="7" t="inlineStr">
        <is>
          <t>supported</t>
        </is>
      </c>
      <c r="F257" s="7" t="inlineStr">
        <is>
          <t>src.sh.doi; src.sh.license</t>
        </is>
      </c>
      <c r="G257" s="7" t="inlineStr">
        <is>
          <t>—</t>
        </is>
      </c>
      <c r="H257" s="7" t="inlineStr">
        <is>
          <t>—</t>
        </is>
      </c>
      <c r="I257" s="7" t="n"/>
      <c r="J257" s="7" t="inlineStr">
        <is>
          <t>—</t>
        </is>
      </c>
      <c r="K257" s="7" t="inlineStr"/>
      <c r="L257" s="7" t="inlineStr"/>
      <c r="M257" s="7" t="inlineStr"/>
    </row>
    <row r="258">
      <c r="A258" s="7" t="inlineStr">
        <is>
          <t>C-NR-01</t>
        </is>
      </c>
      <c r="B258" s="7" t="inlineStr">
        <is>
          <t>Per-person 60-min range coverage 51.4 %–87.6 % (min)</t>
        </is>
      </c>
      <c r="C258" s="7" t="inlineStr">
        <is>
          <t>Narration metric card</t>
        </is>
      </c>
      <c r="D258" s="7" t="inlineStr">
        <is>
          <t>Serving model, final test segment (later recordings of the same 14 people; retrospective, inspected)</t>
        </is>
      </c>
      <c r="E258" s="7" t="inlineStr">
        <is>
          <t>supported</t>
        </is>
      </c>
      <c r="F258" s="7" t="inlineStr">
        <is>
          <t>fus.iv.per_patient_min60</t>
        </is>
      </c>
      <c r="G258" s="8">
        <f>IF(AND(ISNUMBER(Sources!$C$88)),Sources!$C$88*100,"unavailable")</f>
        <v/>
      </c>
      <c r="H258" s="7" t="n">
        <v>51.4</v>
      </c>
      <c r="I258" s="7" t="n">
        <v>1</v>
      </c>
      <c r="J258" s="7">
        <f>IF(ISNUMBER(G258),IF(ABS(G258-H258)&lt;=0.5*10^(-I258)+1E-9,"matches","MISMATCH"),"pending")</f>
        <v/>
      </c>
      <c r="K258" s="7" t="inlineStr"/>
      <c r="L258" s="7" t="inlineStr"/>
      <c r="M258" s="7" t="inlineStr"/>
    </row>
    <row r="259">
      <c r="A259" s="7" t="inlineStr">
        <is>
          <t>C-NR-02</t>
        </is>
      </c>
      <c r="B259" s="7" t="inlineStr">
        <is>
          <t>Per-person 60-min range coverage max 87.6 %</t>
        </is>
      </c>
      <c r="C259" s="7" t="inlineStr">
        <is>
          <t>Narration metric card</t>
        </is>
      </c>
      <c r="D259" s="7" t="inlineStr">
        <is>
          <t>Serving model, final test segment (later recordings of the same 14 people; retrospective, inspected)</t>
        </is>
      </c>
      <c r="E259" s="7" t="inlineStr">
        <is>
          <t>supported</t>
        </is>
      </c>
      <c r="F259" s="7" t="inlineStr">
        <is>
          <t>fus.iv.per_patient_max60</t>
        </is>
      </c>
      <c r="G259" s="8">
        <f>IF(AND(ISNUMBER(Sources!$C$89)),Sources!$C$89*100,"unavailable")</f>
        <v/>
      </c>
      <c r="H259" s="7" t="n">
        <v>87.59999999999999</v>
      </c>
      <c r="I259" s="7" t="n">
        <v>1</v>
      </c>
      <c r="J259" s="7">
        <f>IF(ISNUMBER(G259),IF(ABS(G259-H259)&lt;=0.5*10^(-I259)+1E-9,"matches","MISMATCH"),"pending")</f>
        <v/>
      </c>
      <c r="K259" s="7" t="inlineStr"/>
      <c r="L259" s="7" t="inlineStr"/>
      <c r="M259" s="7" t="inlineStr"/>
    </row>
    <row r="260">
      <c r="A260" s="7" t="inlineStr">
        <is>
          <t>C-NR-03</t>
        </is>
      </c>
      <c r="B260" s="7" t="inlineStr">
        <is>
          <t>Range held 46 % while rising &gt; 2 mg/dL/min at 60 min (validation)</t>
        </is>
      </c>
      <c r="C260" s="7" t="inlineStr">
        <is>
          <t>Narration scene 15; metric card</t>
        </is>
      </c>
      <c r="D260" s="7" t="inlineStr">
        <is>
          <t>Serving model, validation segment</t>
        </is>
      </c>
      <c r="E260" s="7" t="inlineStr">
        <is>
          <t>supported</t>
        </is>
      </c>
      <c r="F260" s="7" t="inlineStr">
        <is>
          <t>tr.rising_fast.cov60</t>
        </is>
      </c>
      <c r="G260" s="8">
        <f>IF(AND(ISNUMBER(Sources!$C$170)),Sources!$C$170*100,"unavailable")</f>
        <v/>
      </c>
      <c r="H260" s="7" t="n">
        <v>46</v>
      </c>
      <c r="I260" s="7" t="n">
        <v>0</v>
      </c>
      <c r="J260" s="7">
        <f>IF(ISNUMBER(G260),IF(ABS(G260-H260)&lt;=0.5*10^(-I260)+1E-9,"matches","MISMATCH"),"pending")</f>
        <v/>
      </c>
      <c r="K260" s="7" t="inlineStr"/>
      <c r="L260" s="7" t="inlineStr"/>
      <c r="M260" s="7" t="inlineStr"/>
    </row>
    <row r="261">
      <c r="A261" s="7" t="inlineStr">
        <is>
          <t>C-NR-04</t>
        </is>
      </c>
      <c r="B261" s="7" t="inlineStr">
        <is>
          <t>Joint selection lowered 60-min error but made peaks above 180 worse and raised false alarms: failed its gates</t>
        </is>
      </c>
      <c r="C261" s="7" t="inlineStr">
        <is>
          <t>Narration scene 11</t>
        </is>
      </c>
      <c r="D261" s="7" t="inlineStr">
        <is>
          <t>Participant-held-out internal (14 CGMacros people, each held out once; previously inspected)</t>
        </is>
      </c>
      <c r="E261" s="7" t="inlineStr">
        <is>
          <t>negative-result</t>
        </is>
      </c>
      <c r="F261" s="7" t="inlineStr">
        <is>
          <t>jt.rel.fa_per_day_delta; Gates: D-052; jt.gate.high_worsening_60</t>
        </is>
      </c>
      <c r="G261" s="8">
        <f>IF(AND(ISNUMBER(Sources!$C$381)),Sources!$C$381,"unavailable")</f>
        <v/>
      </c>
      <c r="H261" s="7" t="inlineStr">
        <is>
          <t>—</t>
        </is>
      </c>
      <c r="I261" s="7" t="n"/>
      <c r="J261" s="7" t="inlineStr">
        <is>
          <t>see limitation</t>
        </is>
      </c>
      <c r="K261" s="7" t="inlineStr"/>
      <c r="L261" s="7" t="inlineStr"/>
      <c r="M261" s="7" t="inlineStr"/>
    </row>
    <row r="262">
      <c r="A262" s="7" t="inlineStr">
        <is>
          <t>C-NR-05</t>
        </is>
      </c>
      <c r="B262" s="7" t="inlineStr">
        <is>
          <t>D-053 passed the warning and range checks</t>
        </is>
      </c>
      <c r="C262" s="7" t="inlineStr">
        <is>
          <t>Narration scene 11, 16</t>
        </is>
      </c>
      <c r="D262" s="7" t="inlineStr">
        <is>
          <t>Gate</t>
        </is>
      </c>
      <c r="E262" s="7" t="inlineStr">
        <is>
          <t>supported</t>
        </is>
      </c>
      <c r="F262" s="7" t="inlineStr">
        <is>
          <t>Gates: D-053 operational; cs.rg.passed</t>
        </is>
      </c>
      <c r="G262" s="7" t="inlineStr">
        <is>
          <t>—</t>
        </is>
      </c>
      <c r="H262" s="7" t="inlineStr">
        <is>
          <t>—</t>
        </is>
      </c>
      <c r="I262" s="7" t="n"/>
      <c r="J262" s="7" t="inlineStr">
        <is>
          <t>—</t>
        </is>
      </c>
      <c r="K262" s="7" t="inlineStr"/>
      <c r="L262" s="7" t="inlineStr"/>
      <c r="M262" s="7" t="inlineStr"/>
    </row>
    <row r="263">
      <c r="A263" s="7" t="inlineStr">
        <is>
          <t>C-NR-06</t>
        </is>
      </c>
      <c r="B263" s="7" t="inlineStr">
        <is>
          <t>Blending, retraining, tuning and joint selection each failed their declared bars</t>
        </is>
      </c>
      <c r="C263" s="7" t="inlineStr">
        <is>
          <t>Narration scene 16</t>
        </is>
      </c>
      <c r="D263" s="7" t="inlineStr">
        <is>
          <t>Gate</t>
        </is>
      </c>
      <c r="E263" s="7" t="inlineStr">
        <is>
          <t>negative-result</t>
        </is>
      </c>
      <c r="F263" s="7" t="inlineStr">
        <is>
          <t>Gates: D-048, D-049, D-051, D-052</t>
        </is>
      </c>
      <c r="G263" s="7" t="inlineStr">
        <is>
          <t>—</t>
        </is>
      </c>
      <c r="H263" s="7" t="inlineStr">
        <is>
          <t>—</t>
        </is>
      </c>
      <c r="I263" s="7" t="n"/>
      <c r="J263" s="7" t="inlineStr">
        <is>
          <t>—</t>
        </is>
      </c>
      <c r="K263" s="7" t="inlineStr"/>
      <c r="L263" s="7" t="inlineStr"/>
      <c r="M263" s="7" t="inlineStr"/>
    </row>
    <row r="264">
      <c r="A264" s="7" t="inlineStr">
        <is>
          <t>C-NR-07</t>
        </is>
      </c>
      <c r="B264" s="7" t="inlineStr">
        <is>
          <t>Shanghai: a separate CGM-only model beat persistence at 30 min and at two hours</t>
        </is>
      </c>
      <c r="C264" s="7" t="inlineStr">
        <is>
          <t>Narration scene 16</t>
        </is>
      </c>
      <c r="D264" s="7" t="inlineStr">
        <is>
          <t>External ShanghaiT2DM, 98 people, CGM-only procedure (not the serving fusion model)</t>
        </is>
      </c>
      <c r="E264" s="7" t="inlineStr">
        <is>
          <t>supported</t>
        </is>
      </c>
      <c r="F264" s="7" t="inlineStr">
        <is>
          <t>2hx.cmp.hi; ext.cmp.hi30</t>
        </is>
      </c>
      <c r="G264" s="8">
        <f>IF(AND(ISNUMBER(Sources!$C$255)),Sources!$C$255,"unavailable")</f>
        <v/>
      </c>
      <c r="H264" s="7" t="inlineStr">
        <is>
          <t>—</t>
        </is>
      </c>
      <c r="I264" s="7" t="n"/>
      <c r="J264" s="7" t="inlineStr">
        <is>
          <t>see limitation</t>
        </is>
      </c>
      <c r="K264" s="7" t="inlineStr">
        <is>
          <t>120-min CI upper &lt; 0; 30-min D-032 CI upper &lt; 0</t>
        </is>
      </c>
      <c r="L264" s="7" t="inlineStr"/>
      <c r="M264" s="7" t="inlineStr"/>
    </row>
    <row r="265">
      <c r="A265" s="7" t="inlineStr">
        <is>
          <t>C-D9-0130</t>
        </is>
      </c>
      <c r="B265" s="7" t="inlineStr">
        <is>
          <t>Slide 9 table: lightgbm:dyn-prof-v2 val. MAE 30</t>
        </is>
      </c>
      <c r="C265" s="7" t="inlineStr">
        <is>
          <t>Deck s9</t>
        </is>
      </c>
      <c r="D265" s="7" t="inlineStr">
        <is>
          <t>Serving experiment, validation segment (selection)</t>
        </is>
      </c>
      <c r="E265" s="7" t="inlineStr">
        <is>
          <t>supported</t>
        </is>
      </c>
      <c r="F265" s="7" t="inlineStr">
        <is>
          <t>sel.lightgbm_dyn-prof-v2.selection_mae_30</t>
        </is>
      </c>
      <c r="G265" s="8">
        <f>IF(AND(ISNUMBER(Sources!$C$494)),Sources!$C$494,"unavailable")</f>
        <v/>
      </c>
      <c r="H265" s="7" t="n">
        <v>13.47</v>
      </c>
      <c r="I265" s="7" t="n">
        <v>2</v>
      </c>
      <c r="J265" s="7">
        <f>IF(ISNUMBER(G265),IF(ABS(G265-H265)&lt;=0.5*10^(-I265)+1E-9,"matches","MISMATCH"),"pending")</f>
        <v/>
      </c>
      <c r="K265" s="7" t="inlineStr"/>
      <c r="L265" s="7" t="inlineStr"/>
      <c r="M265" s="7" t="inlineStr"/>
    </row>
    <row r="266">
      <c r="A266" s="7" t="inlineStr">
        <is>
          <t>C-D9-0160</t>
        </is>
      </c>
      <c r="B266" s="7" t="inlineStr">
        <is>
          <t>Slide 9 table: lightgbm:dyn-prof-v2 val. MAE 60</t>
        </is>
      </c>
      <c r="C266" s="7" t="inlineStr">
        <is>
          <t>Deck s9</t>
        </is>
      </c>
      <c r="D266" s="7" t="inlineStr">
        <is>
          <t>Serving experiment, validation segment (selection)</t>
        </is>
      </c>
      <c r="E266" s="7" t="inlineStr">
        <is>
          <t>supported</t>
        </is>
      </c>
      <c r="F266" s="7" t="inlineStr">
        <is>
          <t>sel.lightgbm_dyn-prof-v2.selection_mae_60</t>
        </is>
      </c>
      <c r="G266" s="8">
        <f>IF(AND(ISNUMBER(Sources!$C$495)),Sources!$C$495,"unavailable")</f>
        <v/>
      </c>
      <c r="H266" s="7" t="n">
        <v>21.26</v>
      </c>
      <c r="I266" s="7" t="n">
        <v>2</v>
      </c>
      <c r="J266" s="7">
        <f>IF(ISNUMBER(G266),IF(ABS(G266-H266)&lt;=0.5*10^(-I266)+1E-9,"matches","MISMATCH"),"pending")</f>
        <v/>
      </c>
      <c r="K266" s="7" t="inlineStr"/>
      <c r="L266" s="7" t="inlineStr"/>
      <c r="M266" s="7" t="inlineStr"/>
    </row>
    <row r="267">
      <c r="A267" s="7" t="inlineStr">
        <is>
          <t>C-D9-01sc</t>
        </is>
      </c>
      <c r="B267" s="7" t="inlineStr">
        <is>
          <t>Slide 9 table: lightgbm:dyn-prof-v2 score</t>
        </is>
      </c>
      <c r="C267" s="7" t="inlineStr">
        <is>
          <t>Deck s9</t>
        </is>
      </c>
      <c r="D267" s="7" t="inlineStr">
        <is>
          <t>Serving experiment, validation segment (selection)</t>
        </is>
      </c>
      <c r="E267" s="7" t="inlineStr">
        <is>
          <t>supported</t>
        </is>
      </c>
      <c r="F267" s="7" t="inlineStr">
        <is>
          <t>sel.lightgbm_dyn-prof-v2.selection_score</t>
        </is>
      </c>
      <c r="G267" s="8">
        <f>IF(AND(ISNUMBER(Sources!$C$496)),Sources!$C$496,"unavailable")</f>
        <v/>
      </c>
      <c r="H267" s="7" t="n">
        <v>17.36</v>
      </c>
      <c r="I267" s="7" t="n">
        <v>2</v>
      </c>
      <c r="J267" s="7">
        <f>IF(ISNUMBER(G267),IF(ABS(G267-H267)&lt;=0.5*10^(-I267)+1E-9,"matches","MISMATCH"),"pending")</f>
        <v/>
      </c>
      <c r="K267" s="7" t="inlineStr"/>
      <c r="L267" s="7" t="inlineStr"/>
      <c r="M267" s="7" t="inlineStr"/>
    </row>
    <row r="268">
      <c r="A268" s="7" t="inlineStr">
        <is>
          <t>C-D9-0230</t>
        </is>
      </c>
      <c r="B268" s="7" t="inlineStr">
        <is>
          <t>Slide 9 table: catboost:dyn-prof-v2 val. MAE 30</t>
        </is>
      </c>
      <c r="C268" s="7" t="inlineStr">
        <is>
          <t>Deck s9</t>
        </is>
      </c>
      <c r="D268" s="7" t="inlineStr">
        <is>
          <t>Serving experiment, validation segment (selection)</t>
        </is>
      </c>
      <c r="E268" s="7" t="inlineStr">
        <is>
          <t>supported</t>
        </is>
      </c>
      <c r="F268" s="7" t="inlineStr">
        <is>
          <t>sel.catboost_dyn-prof-v2.selection_mae_30</t>
        </is>
      </c>
      <c r="G268" s="8">
        <f>IF(AND(ISNUMBER(Sources!$C$497)),Sources!$C$497,"unavailable")</f>
        <v/>
      </c>
      <c r="H268" s="7" t="n">
        <v>13.56</v>
      </c>
      <c r="I268" s="7" t="n">
        <v>2</v>
      </c>
      <c r="J268" s="7">
        <f>IF(ISNUMBER(G268),IF(ABS(G268-H268)&lt;=0.5*10^(-I268)+1E-9,"matches","MISMATCH"),"pending")</f>
        <v/>
      </c>
      <c r="K268" s="7" t="inlineStr"/>
      <c r="L268" s="7" t="inlineStr"/>
      <c r="M268" s="7" t="inlineStr"/>
    </row>
    <row r="269">
      <c r="A269" s="7" t="inlineStr">
        <is>
          <t>C-D9-0260</t>
        </is>
      </c>
      <c r="B269" s="7" t="inlineStr">
        <is>
          <t>Slide 9 table: catboost:dyn-prof-v2 val. MAE 60</t>
        </is>
      </c>
      <c r="C269" s="7" t="inlineStr">
        <is>
          <t>Deck s9</t>
        </is>
      </c>
      <c r="D269" s="7" t="inlineStr">
        <is>
          <t>Serving experiment, validation segment (selection)</t>
        </is>
      </c>
      <c r="E269" s="7" t="inlineStr">
        <is>
          <t>supported</t>
        </is>
      </c>
      <c r="F269" s="7" t="inlineStr">
        <is>
          <t>sel.catboost_dyn-prof-v2.selection_mae_60</t>
        </is>
      </c>
      <c r="G269" s="8">
        <f>IF(AND(ISNUMBER(Sources!$C$498)),Sources!$C$498,"unavailable")</f>
        <v/>
      </c>
      <c r="H269" s="7" t="n">
        <v>21.31</v>
      </c>
      <c r="I269" s="7" t="n">
        <v>2</v>
      </c>
      <c r="J269" s="7">
        <f>IF(ISNUMBER(G269),IF(ABS(G269-H269)&lt;=0.5*10^(-I269)+1E-9,"matches","MISMATCH"),"pending")</f>
        <v/>
      </c>
      <c r="K269" s="7" t="inlineStr"/>
      <c r="L269" s="7" t="inlineStr"/>
      <c r="M269" s="7" t="inlineStr"/>
    </row>
    <row r="270">
      <c r="A270" s="7" t="inlineStr">
        <is>
          <t>C-D9-02sc</t>
        </is>
      </c>
      <c r="B270" s="7" t="inlineStr">
        <is>
          <t>Slide 9 table: catboost:dyn-prof-v2 score</t>
        </is>
      </c>
      <c r="C270" s="7" t="inlineStr">
        <is>
          <t>Deck s9</t>
        </is>
      </c>
      <c r="D270" s="7" t="inlineStr">
        <is>
          <t>Serving experiment, validation segment (selection)</t>
        </is>
      </c>
      <c r="E270" s="7" t="inlineStr">
        <is>
          <t>supported</t>
        </is>
      </c>
      <c r="F270" s="7" t="inlineStr">
        <is>
          <t>sel.catboost_dyn-prof-v2.selection_score</t>
        </is>
      </c>
      <c r="G270" s="8">
        <f>IF(AND(ISNUMBER(Sources!$C$499)),Sources!$C$499,"unavailable")</f>
        <v/>
      </c>
      <c r="H270" s="7" t="n">
        <v>17.44</v>
      </c>
      <c r="I270" s="7" t="n">
        <v>2</v>
      </c>
      <c r="J270" s="7">
        <f>IF(ISNUMBER(G270),IF(ABS(G270-H270)&lt;=0.5*10^(-I270)+1E-9,"matches","MISMATCH"),"pending")</f>
        <v/>
      </c>
      <c r="K270" s="7" t="inlineStr"/>
      <c r="L270" s="7" t="inlineStr"/>
      <c r="M270" s="7" t="inlineStr"/>
    </row>
    <row r="271">
      <c r="A271" s="7" t="inlineStr">
        <is>
          <t>C-D9-0330</t>
        </is>
      </c>
      <c r="B271" s="7" t="inlineStr">
        <is>
          <t>Slide 9 table: lightgbm:dyn-v2 val. MAE 30</t>
        </is>
      </c>
      <c r="C271" s="7" t="inlineStr">
        <is>
          <t>Deck s9</t>
        </is>
      </c>
      <c r="D271" s="7" t="inlineStr">
        <is>
          <t>Serving experiment, validation segment (selection)</t>
        </is>
      </c>
      <c r="E271" s="7" t="inlineStr">
        <is>
          <t>supported</t>
        </is>
      </c>
      <c r="F271" s="7" t="inlineStr">
        <is>
          <t>sel.lightgbm_dyn-v2.selection_mae_30</t>
        </is>
      </c>
      <c r="G271" s="8">
        <f>IF(AND(ISNUMBER(Sources!$C$500)),Sources!$C$500,"unavailable")</f>
        <v/>
      </c>
      <c r="H271" s="7" t="n">
        <v>13.76</v>
      </c>
      <c r="I271" s="7" t="n">
        <v>2</v>
      </c>
      <c r="J271" s="7">
        <f>IF(ISNUMBER(G271),IF(ABS(G271-H271)&lt;=0.5*10^(-I271)+1E-9,"matches","MISMATCH"),"pending")</f>
        <v/>
      </c>
      <c r="K271" s="7" t="inlineStr"/>
      <c r="L271" s="7" t="inlineStr"/>
      <c r="M271" s="7" t="inlineStr"/>
    </row>
    <row r="272">
      <c r="A272" s="7" t="inlineStr">
        <is>
          <t>C-D9-0360</t>
        </is>
      </c>
      <c r="B272" s="7" t="inlineStr">
        <is>
          <t>Slide 9 table: lightgbm:dyn-v2 val. MAE 60</t>
        </is>
      </c>
      <c r="C272" s="7" t="inlineStr">
        <is>
          <t>Deck s9</t>
        </is>
      </c>
      <c r="D272" s="7" t="inlineStr">
        <is>
          <t>Serving experiment, validation segment (selection)</t>
        </is>
      </c>
      <c r="E272" s="7" t="inlineStr">
        <is>
          <t>supported</t>
        </is>
      </c>
      <c r="F272" s="7" t="inlineStr">
        <is>
          <t>sel.lightgbm_dyn-v2.selection_mae_60</t>
        </is>
      </c>
      <c r="G272" s="8">
        <f>IF(AND(ISNUMBER(Sources!$C$501)),Sources!$C$501,"unavailable")</f>
        <v/>
      </c>
      <c r="H272" s="7" t="n">
        <v>21.73</v>
      </c>
      <c r="I272" s="7" t="n">
        <v>2</v>
      </c>
      <c r="J272" s="7">
        <f>IF(ISNUMBER(G272),IF(ABS(G272-H272)&lt;=0.5*10^(-I272)+1E-9,"matches","MISMATCH"),"pending")</f>
        <v/>
      </c>
      <c r="K272" s="7" t="inlineStr"/>
      <c r="L272" s="7" t="inlineStr"/>
      <c r="M272" s="7" t="inlineStr"/>
    </row>
    <row r="273">
      <c r="A273" s="7" t="inlineStr">
        <is>
          <t>C-D9-03sc</t>
        </is>
      </c>
      <c r="B273" s="7" t="inlineStr">
        <is>
          <t>Slide 9 table: lightgbm:dyn-v2 score</t>
        </is>
      </c>
      <c r="C273" s="7" t="inlineStr">
        <is>
          <t>Deck s9</t>
        </is>
      </c>
      <c r="D273" s="7" t="inlineStr">
        <is>
          <t>Serving experiment, validation segment (selection)</t>
        </is>
      </c>
      <c r="E273" s="7" t="inlineStr">
        <is>
          <t>supported</t>
        </is>
      </c>
      <c r="F273" s="7" t="inlineStr">
        <is>
          <t>sel.lightgbm_dyn-v2.selection_score</t>
        </is>
      </c>
      <c r="G273" s="8">
        <f>IF(AND(ISNUMBER(Sources!$C$502)),Sources!$C$502,"unavailable")</f>
        <v/>
      </c>
      <c r="H273" s="7" t="n">
        <v>17.75</v>
      </c>
      <c r="I273" s="7" t="n">
        <v>2</v>
      </c>
      <c r="J273" s="7">
        <f>IF(ISNUMBER(G273),IF(ABS(G273-H273)&lt;=0.5*10^(-I273)+1E-9,"matches","MISMATCH"),"pending")</f>
        <v/>
      </c>
      <c r="K273" s="7" t="inlineStr"/>
      <c r="L273" s="7" t="inlineStr"/>
      <c r="M273" s="7" t="inlineStr"/>
    </row>
    <row r="274">
      <c r="A274" s="7" t="inlineStr">
        <is>
          <t>C-D9-0430</t>
        </is>
      </c>
      <c r="B274" s="7" t="inlineStr">
        <is>
          <t>Slide 9 table: catboost:dyn-v2 val. MAE 30</t>
        </is>
      </c>
      <c r="C274" s="7" t="inlineStr">
        <is>
          <t>Deck s9</t>
        </is>
      </c>
      <c r="D274" s="7" t="inlineStr">
        <is>
          <t>Serving experiment, validation segment (selection)</t>
        </is>
      </c>
      <c r="E274" s="7" t="inlineStr">
        <is>
          <t>supported</t>
        </is>
      </c>
      <c r="F274" s="7" t="inlineStr">
        <is>
          <t>sel.catboost_dyn-v2.selection_mae_30</t>
        </is>
      </c>
      <c r="G274" s="8">
        <f>IF(AND(ISNUMBER(Sources!$C$503)),Sources!$C$503,"unavailable")</f>
        <v/>
      </c>
      <c r="H274" s="7" t="n">
        <v>13.88</v>
      </c>
      <c r="I274" s="7" t="n">
        <v>2</v>
      </c>
      <c r="J274" s="7">
        <f>IF(ISNUMBER(G274),IF(ABS(G274-H274)&lt;=0.5*10^(-I274)+1E-9,"matches","MISMATCH"),"pending")</f>
        <v/>
      </c>
      <c r="K274" s="7" t="inlineStr"/>
      <c r="L274" s="7" t="inlineStr"/>
      <c r="M274" s="7" t="inlineStr"/>
    </row>
    <row r="275">
      <c r="A275" s="7" t="inlineStr">
        <is>
          <t>C-D9-0460</t>
        </is>
      </c>
      <c r="B275" s="7" t="inlineStr">
        <is>
          <t>Slide 9 table: catboost:dyn-v2 val. MAE 60</t>
        </is>
      </c>
      <c r="C275" s="7" t="inlineStr">
        <is>
          <t>Deck s9</t>
        </is>
      </c>
      <c r="D275" s="7" t="inlineStr">
        <is>
          <t>Serving experiment, validation segment (selection)</t>
        </is>
      </c>
      <c r="E275" s="7" t="inlineStr">
        <is>
          <t>supported</t>
        </is>
      </c>
      <c r="F275" s="7" t="inlineStr">
        <is>
          <t>sel.catboost_dyn-v2.selection_mae_60</t>
        </is>
      </c>
      <c r="G275" s="8">
        <f>IF(AND(ISNUMBER(Sources!$C$504)),Sources!$C$504,"unavailable")</f>
        <v/>
      </c>
      <c r="H275" s="7" t="n">
        <v>21.66</v>
      </c>
      <c r="I275" s="7" t="n">
        <v>2</v>
      </c>
      <c r="J275" s="7">
        <f>IF(ISNUMBER(G275),IF(ABS(G275-H275)&lt;=0.5*10^(-I275)+1E-9,"matches","MISMATCH"),"pending")</f>
        <v/>
      </c>
      <c r="K275" s="7" t="inlineStr"/>
      <c r="L275" s="7" t="inlineStr"/>
      <c r="M275" s="7" t="inlineStr"/>
    </row>
    <row r="276">
      <c r="A276" s="7" t="inlineStr">
        <is>
          <t>C-D9-04sc</t>
        </is>
      </c>
      <c r="B276" s="7" t="inlineStr">
        <is>
          <t>Slide 9 table: catboost:dyn-v2 score</t>
        </is>
      </c>
      <c r="C276" s="7" t="inlineStr">
        <is>
          <t>Deck s9</t>
        </is>
      </c>
      <c r="D276" s="7" t="inlineStr">
        <is>
          <t>Serving experiment, validation segment (selection)</t>
        </is>
      </c>
      <c r="E276" s="7" t="inlineStr">
        <is>
          <t>supported</t>
        </is>
      </c>
      <c r="F276" s="7" t="inlineStr">
        <is>
          <t>sel.catboost_dyn-v2.selection_score</t>
        </is>
      </c>
      <c r="G276" s="8">
        <f>IF(AND(ISNUMBER(Sources!$C$505)),Sources!$C$505,"unavailable")</f>
        <v/>
      </c>
      <c r="H276" s="7" t="n">
        <v>17.77</v>
      </c>
      <c r="I276" s="7" t="n">
        <v>2</v>
      </c>
      <c r="J276" s="7">
        <f>IF(ISNUMBER(G276),IF(ABS(G276-H276)&lt;=0.5*10^(-I276)+1E-9,"matches","MISMATCH"),"pending")</f>
        <v/>
      </c>
      <c r="K276" s="7" t="inlineStr"/>
      <c r="L276" s="7" t="inlineStr"/>
      <c r="M276" s="7" t="inlineStr"/>
    </row>
    <row r="277">
      <c r="A277" s="7" t="inlineStr">
        <is>
          <t>C-D9-0530</t>
        </is>
      </c>
      <c r="B277" s="7" t="inlineStr">
        <is>
          <t>Slide 9 table: ridge:dyn-v2 val. MAE 30</t>
        </is>
      </c>
      <c r="C277" s="7" t="inlineStr">
        <is>
          <t>Deck s9</t>
        </is>
      </c>
      <c r="D277" s="7" t="inlineStr">
        <is>
          <t>Serving experiment, validation segment (selection)</t>
        </is>
      </c>
      <c r="E277" s="7" t="inlineStr">
        <is>
          <t>supported</t>
        </is>
      </c>
      <c r="F277" s="7" t="inlineStr">
        <is>
          <t>sel.ridge_dyn-v2.selection_mae_30</t>
        </is>
      </c>
      <c r="G277" s="8">
        <f>IF(AND(ISNUMBER(Sources!$C$506)),Sources!$C$506,"unavailable")</f>
        <v/>
      </c>
      <c r="H277" s="7" t="n">
        <v>14.13</v>
      </c>
      <c r="I277" s="7" t="n">
        <v>2</v>
      </c>
      <c r="J277" s="7">
        <f>IF(ISNUMBER(G277),IF(ABS(G277-H277)&lt;=0.5*10^(-I277)+1E-9,"matches","MISMATCH"),"pending")</f>
        <v/>
      </c>
      <c r="K277" s="7" t="inlineStr"/>
      <c r="L277" s="7" t="inlineStr"/>
      <c r="M277" s="7" t="inlineStr"/>
    </row>
    <row r="278">
      <c r="A278" s="7" t="inlineStr">
        <is>
          <t>C-D9-0560</t>
        </is>
      </c>
      <c r="B278" s="7" t="inlineStr">
        <is>
          <t>Slide 9 table: ridge:dyn-v2 val. MAE 60</t>
        </is>
      </c>
      <c r="C278" s="7" t="inlineStr">
        <is>
          <t>Deck s9</t>
        </is>
      </c>
      <c r="D278" s="7" t="inlineStr">
        <is>
          <t>Serving experiment, validation segment (selection)</t>
        </is>
      </c>
      <c r="E278" s="7" t="inlineStr">
        <is>
          <t>supported</t>
        </is>
      </c>
      <c r="F278" s="7" t="inlineStr">
        <is>
          <t>sel.ridge_dyn-v2.selection_mae_60</t>
        </is>
      </c>
      <c r="G278" s="8">
        <f>IF(AND(ISNUMBER(Sources!$C$507)),Sources!$C$507,"unavailable")</f>
        <v/>
      </c>
      <c r="H278" s="7" t="n">
        <v>22.44</v>
      </c>
      <c r="I278" s="7" t="n">
        <v>2</v>
      </c>
      <c r="J278" s="7">
        <f>IF(ISNUMBER(G278),IF(ABS(G278-H278)&lt;=0.5*10^(-I278)+1E-9,"matches","MISMATCH"),"pending")</f>
        <v/>
      </c>
      <c r="K278" s="7" t="inlineStr"/>
      <c r="L278" s="7" t="inlineStr"/>
      <c r="M278" s="7" t="inlineStr"/>
    </row>
    <row r="279">
      <c r="A279" s="7" t="inlineStr">
        <is>
          <t>C-D9-05sc</t>
        </is>
      </c>
      <c r="B279" s="7" t="inlineStr">
        <is>
          <t>Slide 9 table: ridge:dyn-v2 score</t>
        </is>
      </c>
      <c r="C279" s="7" t="inlineStr">
        <is>
          <t>Deck s9</t>
        </is>
      </c>
      <c r="D279" s="7" t="inlineStr">
        <is>
          <t>Serving experiment, validation segment (selection)</t>
        </is>
      </c>
      <c r="E279" s="7" t="inlineStr">
        <is>
          <t>supported</t>
        </is>
      </c>
      <c r="F279" s="7" t="inlineStr">
        <is>
          <t>sel.ridge_dyn-v2.selection_score</t>
        </is>
      </c>
      <c r="G279" s="8">
        <f>IF(AND(ISNUMBER(Sources!$C$508)),Sources!$C$508,"unavailable")</f>
        <v/>
      </c>
      <c r="H279" s="7" t="n">
        <v>18.28</v>
      </c>
      <c r="I279" s="7" t="n">
        <v>2</v>
      </c>
      <c r="J279" s="7">
        <f>IF(ISNUMBER(G279),IF(ABS(G279-H279)&lt;=0.5*10^(-I279)+1E-9,"matches","MISMATCH"),"pending")</f>
        <v/>
      </c>
      <c r="K279" s="7" t="inlineStr"/>
      <c r="L279" s="7" t="inlineStr"/>
      <c r="M279" s="7" t="inlineStr"/>
    </row>
    <row r="280">
      <c r="A280" s="7" t="inlineStr">
        <is>
          <t>C-D9-0630</t>
        </is>
      </c>
      <c r="B280" s="7" t="inlineStr">
        <is>
          <t>Slide 9 table: ridge:dyn-prof-v2 val. MAE 30</t>
        </is>
      </c>
      <c r="C280" s="7" t="inlineStr">
        <is>
          <t>Deck s9</t>
        </is>
      </c>
      <c r="D280" s="7" t="inlineStr">
        <is>
          <t>Serving experiment, validation segment (selection)</t>
        </is>
      </c>
      <c r="E280" s="7" t="inlineStr">
        <is>
          <t>supported</t>
        </is>
      </c>
      <c r="F280" s="7" t="inlineStr">
        <is>
          <t>sel.ridge_dyn-prof-v2.selection_mae_30</t>
        </is>
      </c>
      <c r="G280" s="8">
        <f>IF(AND(ISNUMBER(Sources!$C$509)),Sources!$C$509,"unavailable")</f>
        <v/>
      </c>
      <c r="H280" s="7" t="n">
        <v>14.21</v>
      </c>
      <c r="I280" s="7" t="n">
        <v>2</v>
      </c>
      <c r="J280" s="7">
        <f>IF(ISNUMBER(G280),IF(ABS(G280-H280)&lt;=0.5*10^(-I280)+1E-9,"matches","MISMATCH"),"pending")</f>
        <v/>
      </c>
      <c r="K280" s="7" t="inlineStr"/>
      <c r="L280" s="7" t="inlineStr"/>
      <c r="M280" s="7" t="inlineStr"/>
    </row>
    <row r="281">
      <c r="A281" s="7" t="inlineStr">
        <is>
          <t>C-D9-0660</t>
        </is>
      </c>
      <c r="B281" s="7" t="inlineStr">
        <is>
          <t>Slide 9 table: ridge:dyn-prof-v2 val. MAE 60</t>
        </is>
      </c>
      <c r="C281" s="7" t="inlineStr">
        <is>
          <t>Deck s9</t>
        </is>
      </c>
      <c r="D281" s="7" t="inlineStr">
        <is>
          <t>Serving experiment, validation segment (selection)</t>
        </is>
      </c>
      <c r="E281" s="7" t="inlineStr">
        <is>
          <t>supported</t>
        </is>
      </c>
      <c r="F281" s="7" t="inlineStr">
        <is>
          <t>sel.ridge_dyn-prof-v2.selection_mae_60</t>
        </is>
      </c>
      <c r="G281" s="8">
        <f>IF(AND(ISNUMBER(Sources!$C$510)),Sources!$C$510,"unavailable")</f>
        <v/>
      </c>
      <c r="H281" s="7" t="n">
        <v>22.61</v>
      </c>
      <c r="I281" s="7" t="n">
        <v>2</v>
      </c>
      <c r="J281" s="7">
        <f>IF(ISNUMBER(G281),IF(ABS(G281-H281)&lt;=0.5*10^(-I281)+1E-9,"matches","MISMATCH"),"pending")</f>
        <v/>
      </c>
      <c r="K281" s="7" t="inlineStr"/>
      <c r="L281" s="7" t="inlineStr"/>
      <c r="M281" s="7" t="inlineStr"/>
    </row>
    <row r="282">
      <c r="A282" s="7" t="inlineStr">
        <is>
          <t>C-D9-06sc</t>
        </is>
      </c>
      <c r="B282" s="7" t="inlineStr">
        <is>
          <t>Slide 9 table: ridge:dyn-prof-v2 score</t>
        </is>
      </c>
      <c r="C282" s="7" t="inlineStr">
        <is>
          <t>Deck s9</t>
        </is>
      </c>
      <c r="D282" s="7" t="inlineStr">
        <is>
          <t>Serving experiment, validation segment (selection)</t>
        </is>
      </c>
      <c r="E282" s="7" t="inlineStr">
        <is>
          <t>supported</t>
        </is>
      </c>
      <c r="F282" s="7" t="inlineStr">
        <is>
          <t>sel.ridge_dyn-prof-v2.selection_score</t>
        </is>
      </c>
      <c r="G282" s="8">
        <f>IF(AND(ISNUMBER(Sources!$C$511)),Sources!$C$511,"unavailable")</f>
        <v/>
      </c>
      <c r="H282" s="7" t="n">
        <v>18.41</v>
      </c>
      <c r="I282" s="7" t="n">
        <v>2</v>
      </c>
      <c r="J282" s="7">
        <f>IF(ISNUMBER(G282),IF(ABS(G282-H282)&lt;=0.5*10^(-I282)+1E-9,"matches","MISMATCH"),"pending")</f>
        <v/>
      </c>
      <c r="K282" s="7" t="inlineStr"/>
      <c r="L282" s="7" t="inlineStr"/>
      <c r="M282" s="7" t="inlineStr"/>
    </row>
    <row r="283">
      <c r="A283" s="7" t="inlineStr">
        <is>
          <t>C-D9-0730</t>
        </is>
      </c>
      <c r="B283" s="7" t="inlineStr">
        <is>
          <t>Slide 9 table: linear_trend:cgm-only-v1 val. MAE 30</t>
        </is>
      </c>
      <c r="C283" s="7" t="inlineStr">
        <is>
          <t>Deck s9</t>
        </is>
      </c>
      <c r="D283" s="7" t="inlineStr">
        <is>
          <t>Serving experiment, validation segment (selection)</t>
        </is>
      </c>
      <c r="E283" s="7" t="inlineStr">
        <is>
          <t>supported</t>
        </is>
      </c>
      <c r="F283" s="7" t="inlineStr">
        <is>
          <t>sel.linear_trend_cgm-only-v1.selection_mae_30</t>
        </is>
      </c>
      <c r="G283" s="8">
        <f>IF(AND(ISNUMBER(Sources!$C$512)),Sources!$C$512,"unavailable")</f>
        <v/>
      </c>
      <c r="H283" s="7" t="n">
        <v>15.66</v>
      </c>
      <c r="I283" s="7" t="n">
        <v>2</v>
      </c>
      <c r="J283" s="7">
        <f>IF(ISNUMBER(G283),IF(ABS(G283-H283)&lt;=0.5*10^(-I283)+1E-9,"matches","MISMATCH"),"pending")</f>
        <v/>
      </c>
      <c r="K283" s="7" t="inlineStr"/>
      <c r="L283" s="7" t="inlineStr"/>
      <c r="M283" s="7" t="inlineStr"/>
    </row>
    <row r="284">
      <c r="A284" s="7" t="inlineStr">
        <is>
          <t>C-D9-0760</t>
        </is>
      </c>
      <c r="B284" s="7" t="inlineStr">
        <is>
          <t>Slide 9 table: linear_trend:cgm-only-v1 val. MAE 60</t>
        </is>
      </c>
      <c r="C284" s="7" t="inlineStr">
        <is>
          <t>Deck s9</t>
        </is>
      </c>
      <c r="D284" s="7" t="inlineStr">
        <is>
          <t>Serving experiment, validation segment (selection)</t>
        </is>
      </c>
      <c r="E284" s="7" t="inlineStr">
        <is>
          <t>supported</t>
        </is>
      </c>
      <c r="F284" s="7" t="inlineStr">
        <is>
          <t>sel.linear_trend_cgm-only-v1.selection_mae_60</t>
        </is>
      </c>
      <c r="G284" s="8">
        <f>IF(AND(ISNUMBER(Sources!$C$513)),Sources!$C$513,"unavailable")</f>
        <v/>
      </c>
      <c r="H284" s="7" t="n">
        <v>26.33</v>
      </c>
      <c r="I284" s="7" t="n">
        <v>2</v>
      </c>
      <c r="J284" s="7">
        <f>IF(ISNUMBER(G284),IF(ABS(G284-H284)&lt;=0.5*10^(-I284)+1E-9,"matches","MISMATCH"),"pending")</f>
        <v/>
      </c>
      <c r="K284" s="7" t="inlineStr"/>
      <c r="L284" s="7" t="inlineStr"/>
      <c r="M284" s="7" t="inlineStr"/>
    </row>
    <row r="285">
      <c r="A285" s="7" t="inlineStr">
        <is>
          <t>C-D9-07sc</t>
        </is>
      </c>
      <c r="B285" s="7" t="inlineStr">
        <is>
          <t>Slide 9 table: linear_trend:cgm-only-v1 score</t>
        </is>
      </c>
      <c r="C285" s="7" t="inlineStr">
        <is>
          <t>Deck s9</t>
        </is>
      </c>
      <c r="D285" s="7" t="inlineStr">
        <is>
          <t>Serving experiment, validation segment (selection)</t>
        </is>
      </c>
      <c r="E285" s="7" t="inlineStr">
        <is>
          <t>supported</t>
        </is>
      </c>
      <c r="F285" s="7" t="inlineStr">
        <is>
          <t>sel.linear_trend_cgm-only-v1.selection_score</t>
        </is>
      </c>
      <c r="G285" s="8">
        <f>IF(AND(ISNUMBER(Sources!$C$514)),Sources!$C$514,"unavailable")</f>
        <v/>
      </c>
      <c r="H285" s="7" t="n">
        <v>20.99</v>
      </c>
      <c r="I285" s="7" t="n">
        <v>2</v>
      </c>
      <c r="J285" s="7">
        <f>IF(ISNUMBER(G285),IF(ABS(G285-H285)&lt;=0.5*10^(-I285)+1E-9,"matches","MISMATCH"),"pending")</f>
        <v/>
      </c>
      <c r="K285" s="7" t="inlineStr"/>
      <c r="L285" s="7" t="inlineStr"/>
      <c r="M285" s="7" t="inlineStr"/>
    </row>
    <row r="286">
      <c r="A286" s="7" t="inlineStr">
        <is>
          <t>C-D9-0830</t>
        </is>
      </c>
      <c r="B286" s="7" t="inlineStr">
        <is>
          <t>Slide 9 table: persistence:cgm-only-v1 val. MAE 30</t>
        </is>
      </c>
      <c r="C286" s="7" t="inlineStr">
        <is>
          <t>Deck s9</t>
        </is>
      </c>
      <c r="D286" s="7" t="inlineStr">
        <is>
          <t>Serving experiment, validation segment (selection)</t>
        </is>
      </c>
      <c r="E286" s="7" t="inlineStr">
        <is>
          <t>supported</t>
        </is>
      </c>
      <c r="F286" s="7" t="inlineStr">
        <is>
          <t>sel.persistence_cgm-only-v1.selection_mae_30</t>
        </is>
      </c>
      <c r="G286" s="8">
        <f>IF(AND(ISNUMBER(Sources!$C$515)),Sources!$C$515,"unavailable")</f>
        <v/>
      </c>
      <c r="H286" s="7" t="n">
        <v>16.51</v>
      </c>
      <c r="I286" s="7" t="n">
        <v>2</v>
      </c>
      <c r="J286" s="7">
        <f>IF(ISNUMBER(G286),IF(ABS(G286-H286)&lt;=0.5*10^(-I286)+1E-9,"matches","MISMATCH"),"pending")</f>
        <v/>
      </c>
      <c r="K286" s="7" t="inlineStr"/>
      <c r="L286" s="7" t="inlineStr"/>
      <c r="M286" s="7" t="inlineStr"/>
    </row>
    <row r="287">
      <c r="A287" s="7" t="inlineStr">
        <is>
          <t>C-D9-0860</t>
        </is>
      </c>
      <c r="B287" s="7" t="inlineStr">
        <is>
          <t>Slide 9 table: persistence:cgm-only-v1 val. MAE 60</t>
        </is>
      </c>
      <c r="C287" s="7" t="inlineStr">
        <is>
          <t>Deck s9</t>
        </is>
      </c>
      <c r="D287" s="7" t="inlineStr">
        <is>
          <t>Serving experiment, validation segment (selection)</t>
        </is>
      </c>
      <c r="E287" s="7" t="inlineStr">
        <is>
          <t>supported</t>
        </is>
      </c>
      <c r="F287" s="7" t="inlineStr">
        <is>
          <t>sel.persistence_cgm-only-v1.selection_mae_60</t>
        </is>
      </c>
      <c r="G287" s="8">
        <f>IF(AND(ISNUMBER(Sources!$C$516)),Sources!$C$516,"unavailable")</f>
        <v/>
      </c>
      <c r="H287" s="7" t="n">
        <v>26.32</v>
      </c>
      <c r="I287" s="7" t="n">
        <v>2</v>
      </c>
      <c r="J287" s="7">
        <f>IF(ISNUMBER(G287),IF(ABS(G287-H287)&lt;=0.5*10^(-I287)+1E-9,"matches","MISMATCH"),"pending")</f>
        <v/>
      </c>
      <c r="K287" s="7" t="inlineStr"/>
      <c r="L287" s="7" t="inlineStr"/>
      <c r="M287" s="7" t="inlineStr"/>
    </row>
    <row r="288">
      <c r="A288" s="7" t="inlineStr">
        <is>
          <t>C-D9-08sc</t>
        </is>
      </c>
      <c r="B288" s="7" t="inlineStr">
        <is>
          <t>Slide 9 table: persistence:cgm-only-v1 score</t>
        </is>
      </c>
      <c r="C288" s="7" t="inlineStr">
        <is>
          <t>Deck s9</t>
        </is>
      </c>
      <c r="D288" s="7" t="inlineStr">
        <is>
          <t>Serving experiment, validation segment (selection)</t>
        </is>
      </c>
      <c r="E288" s="7" t="inlineStr">
        <is>
          <t>supported</t>
        </is>
      </c>
      <c r="F288" s="7" t="inlineStr">
        <is>
          <t>sel.persistence_cgm-only-v1.selection_score</t>
        </is>
      </c>
      <c r="G288" s="8">
        <f>IF(AND(ISNUMBER(Sources!$C$517)),Sources!$C$517,"unavailable")</f>
        <v/>
      </c>
      <c r="H288" s="7" t="n">
        <v>21.42</v>
      </c>
      <c r="I288" s="7" t="n">
        <v>2</v>
      </c>
      <c r="J288" s="7">
        <f>IF(ISNUMBER(G288),IF(ABS(G288-H288)&lt;=0.5*10^(-I288)+1E-9,"matches","MISMATCH"),"pending")</f>
        <v/>
      </c>
      <c r="K288" s="7" t="inlineStr"/>
      <c r="L288" s="7" t="inlineStr"/>
      <c r="M288" s="7" t="inlineStr"/>
    </row>
  </sheetData>
  <autoFilter ref="A15:M288"/>
  <hyperlinks>
    <hyperlink xmlns:r="http://schemas.openxmlformats.org/officeDocument/2006/relationships" ref="H1" r:id="rId1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524"/>
  <sheetViews>
    <sheetView showGridLines="1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16" customWidth="1" min="3" max="3"/>
    <col width="14" customWidth="1" min="4" max="4"/>
    <col width="14" customWidth="1" min="5" max="5"/>
    <col width="46" customWidth="1" min="6" max="6"/>
    <col width="60" customWidth="1" min="7" max="7"/>
    <col width="22" customWidth="1" min="8" max="8"/>
    <col width="30" customWidth="1" min="9" max="9"/>
    <col width="46" customWidth="1" min="10" max="10"/>
    <col width="24" customWidth="1" min="11" max="11"/>
  </cols>
  <sheetData>
    <row r="1">
      <c r="A1" s="1" t="inlineStr">
        <is>
          <t>Sources — every source value stored once, at full precision</t>
        </is>
      </c>
      <c r="F1" s="2" t="inlineStr">
        <is>
          <t>← About / navigation</t>
        </is>
      </c>
    </row>
    <row r="2">
      <c r="A2" s="9" t="inlineStr">
        <is>
          <t>Value column is the only place a source number is typed by the builder; every other sheet references it. 'unavailable' = the file is not on this installation (never 0).</t>
        </is>
      </c>
    </row>
    <row r="4" ht="32" customHeight="1">
      <c r="A4" s="6" t="inlineStr">
        <is>
          <t>Value ID</t>
        </is>
      </c>
      <c r="B4" s="6" t="inlineStr">
        <is>
          <t>Description</t>
        </is>
      </c>
      <c r="C4" s="6" t="inlineStr">
        <is>
          <t>Value</t>
        </is>
      </c>
      <c r="D4" s="6" t="inlineStr">
        <is>
          <t>Unit</t>
        </is>
      </c>
      <c r="E4" s="6" t="inlineStr">
        <is>
          <t>Source ID</t>
        </is>
      </c>
      <c r="F4" s="6" t="inlineStr">
        <is>
          <t>Repository path</t>
        </is>
      </c>
      <c r="G4" s="6" t="inlineStr">
        <is>
          <t>Locator (JSON pointer / field)</t>
        </is>
      </c>
      <c r="H4" s="6" t="inlineStr">
        <is>
          <t>Source date</t>
        </is>
      </c>
      <c r="I4" s="6" t="inlineStr">
        <is>
          <t>Source SHA-256</t>
        </is>
      </c>
      <c r="J4" s="6" t="inlineStr">
        <is>
          <t>Protocol / revision identity</t>
        </is>
      </c>
      <c r="K4" s="6" t="inlineStr">
        <is>
          <t>Publication status</t>
        </is>
      </c>
    </row>
    <row r="5">
      <c r="A5" s="7" t="inlineStr">
        <is>
          <t>fus.pers.mae30</t>
        </is>
      </c>
      <c r="B5" s="7" t="inlineStr">
        <is>
          <t>Serving test (final test segment): Persistence (last reading), 30 min, mae (macro over participants)</t>
        </is>
      </c>
      <c r="C5" s="8" t="n">
        <v>14.83660093847569</v>
      </c>
      <c r="D5" s="7" t="inlineStr">
        <is>
          <t>mg/dL</t>
        </is>
      </c>
      <c r="E5" s="7" t="inlineStr">
        <is>
          <t>fusion</t>
        </is>
      </c>
      <c r="F5" s="7" t="inlineStr">
        <is>
          <t>artifacts/experiments/gt-primary-2026-10-13-fusion/metrics.json</t>
        </is>
      </c>
      <c r="G5" s="7" t="inlineStr">
        <is>
          <t>/forecast_results[label=persistence:cgm-only-v1&amp;personalization=off&amp;split=test&amp;horizon=30]/mae</t>
        </is>
      </c>
      <c r="H5" s="7" t="inlineStr">
        <is>
          <t>2026-10-13T08:02:25+00:00</t>
        </is>
      </c>
      <c r="I5" s="7" t="inlineStr">
        <is>
          <t>ec8d2e7aedb517e73fdb75284a8dea24bdb8de4b4f98257c6186d2cea56152d9</t>
        </is>
      </c>
      <c r="J5" s="7" t="inlineStr">
        <is>
          <t>protocol configs/experiments/gt-primary-2026-10-13-fusion.yaml (first commit b60d149 2026-10-13T13:32:50+05:30)</t>
        </is>
      </c>
      <c r="K5" s="7" t="inlineStr">
        <is>
          <t>local / reproducible-only (git-ignored)</t>
        </is>
      </c>
    </row>
    <row r="6">
      <c r="A6" s="7" t="inlineStr">
        <is>
          <t>fus.pers.rmse30</t>
        </is>
      </c>
      <c r="B6" s="7" t="inlineStr">
        <is>
          <t>Serving test: Persistence (last reading), 30 min, rmse</t>
        </is>
      </c>
      <c r="C6" s="8" t="n">
        <v>22.08395864138335</v>
      </c>
      <c r="D6" s="7" t="inlineStr">
        <is>
          <t>mg/dL</t>
        </is>
      </c>
      <c r="E6" s="7" t="inlineStr">
        <is>
          <t>fusion</t>
        </is>
      </c>
      <c r="F6" s="7" t="inlineStr">
        <is>
          <t>artifacts/experiments/gt-primary-2026-10-13-fusion/metrics.json</t>
        </is>
      </c>
      <c r="G6" s="7" t="inlineStr">
        <is>
          <t>/forecast_results[label=persistence:cgm-only-v1&amp;personalization=off&amp;split=test&amp;horizon=30]/rmse</t>
        </is>
      </c>
      <c r="H6" s="7" t="inlineStr">
        <is>
          <t>2026-10-13T08:02:25+00:00</t>
        </is>
      </c>
      <c r="I6" s="7" t="inlineStr">
        <is>
          <t>ec8d2e7aedb517e73fdb75284a8dea24bdb8de4b4f98257c6186d2cea56152d9</t>
        </is>
      </c>
      <c r="J6" s="7" t="inlineStr">
        <is>
          <t>protocol configs/experiments/gt-primary-2026-10-13-fusion.yaml (first commit b60d149 2026-10-13T13:32:50+05:30)</t>
        </is>
      </c>
      <c r="K6" s="7" t="inlineStr">
        <is>
          <t>local / reproducible-only (git-ignored)</t>
        </is>
      </c>
    </row>
    <row r="7">
      <c r="A7" s="7" t="inlineStr">
        <is>
          <t>fus.pers.mae60</t>
        </is>
      </c>
      <c r="B7" s="7" t="inlineStr">
        <is>
          <t>Serving test (final test segment): Persistence (last reading), 60 min, mae (macro over participants)</t>
        </is>
      </c>
      <c r="C7" s="8" t="n">
        <v>23.22538737006751</v>
      </c>
      <c r="D7" s="7" t="inlineStr">
        <is>
          <t>mg/dL</t>
        </is>
      </c>
      <c r="E7" s="7" t="inlineStr">
        <is>
          <t>fusion</t>
        </is>
      </c>
      <c r="F7" s="7" t="inlineStr">
        <is>
          <t>artifacts/experiments/gt-primary-2026-10-13-fusion/metrics.json</t>
        </is>
      </c>
      <c r="G7" s="7" t="inlineStr">
        <is>
          <t>/forecast_results[label=persistence:cgm-only-v1&amp;personalization=off&amp;split=test&amp;horizon=60]/mae</t>
        </is>
      </c>
      <c r="H7" s="7" t="inlineStr">
        <is>
          <t>2026-10-13T08:02:25+00:00</t>
        </is>
      </c>
      <c r="I7" s="7" t="inlineStr">
        <is>
          <t>ec8d2e7aedb517e73fdb75284a8dea24bdb8de4b4f98257c6186d2cea56152d9</t>
        </is>
      </c>
      <c r="J7" s="7" t="inlineStr">
        <is>
          <t>protocol configs/experiments/gt-primary-2026-10-13-fusion.yaml (first commit b60d149 2026-10-13T13:32:50+05:30)</t>
        </is>
      </c>
      <c r="K7" s="7" t="inlineStr">
        <is>
          <t>local / reproducible-only (git-ignored)</t>
        </is>
      </c>
    </row>
    <row r="8">
      <c r="A8" s="7" t="inlineStr">
        <is>
          <t>fus.pers.rmse60</t>
        </is>
      </c>
      <c r="B8" s="7" t="inlineStr">
        <is>
          <t>Serving test: Persistence (last reading), 60 min, rmse</t>
        </is>
      </c>
      <c r="C8" s="8" t="n">
        <v>33.5582131614413</v>
      </c>
      <c r="D8" s="7" t="inlineStr">
        <is>
          <t>mg/dL</t>
        </is>
      </c>
      <c r="E8" s="7" t="inlineStr">
        <is>
          <t>fusion</t>
        </is>
      </c>
      <c r="F8" s="7" t="inlineStr">
        <is>
          <t>artifacts/experiments/gt-primary-2026-10-13-fusion/metrics.json</t>
        </is>
      </c>
      <c r="G8" s="7" t="inlineStr">
        <is>
          <t>/forecast_results[label=persistence:cgm-only-v1&amp;personalization=off&amp;split=test&amp;horizon=60]/rmse</t>
        </is>
      </c>
      <c r="H8" s="7" t="inlineStr">
        <is>
          <t>2026-10-13T08:02:25+00:00</t>
        </is>
      </c>
      <c r="I8" s="7" t="inlineStr">
        <is>
          <t>ec8d2e7aedb517e73fdb75284a8dea24bdb8de4b4f98257c6186d2cea56152d9</t>
        </is>
      </c>
      <c r="J8" s="7" t="inlineStr">
        <is>
          <t>protocol configs/experiments/gt-primary-2026-10-13-fusion.yaml (first commit b60d149 2026-10-13T13:32:50+05:30)</t>
        </is>
      </c>
      <c r="K8" s="7" t="inlineStr">
        <is>
          <t>local / reproducible-only (git-ignored)</t>
        </is>
      </c>
    </row>
    <row r="9">
      <c r="A9" s="7" t="inlineStr">
        <is>
          <t>fus.trend.mae30</t>
        </is>
      </c>
      <c r="B9" s="7" t="inlineStr">
        <is>
          <t>Serving test (final test segment): Linear trend, 30 min, mae (macro over participants)</t>
        </is>
      </c>
      <c r="C9" s="8" t="n">
        <v>14.03153937051068</v>
      </c>
      <c r="D9" s="7" t="inlineStr">
        <is>
          <t>mg/dL</t>
        </is>
      </c>
      <c r="E9" s="7" t="inlineStr">
        <is>
          <t>fusion</t>
        </is>
      </c>
      <c r="F9" s="7" t="inlineStr">
        <is>
          <t>artifacts/experiments/gt-primary-2026-10-13-fusion/metrics.json</t>
        </is>
      </c>
      <c r="G9" s="7" t="inlineStr">
        <is>
          <t>/forecast_results[label=linear_trend:cgm-only-v1&amp;personalization=off&amp;split=test&amp;horizon=30]/mae</t>
        </is>
      </c>
      <c r="H9" s="7" t="inlineStr">
        <is>
          <t>2026-10-13T08:02:25+00:00</t>
        </is>
      </c>
      <c r="I9" s="7" t="inlineStr">
        <is>
          <t>ec8d2e7aedb517e73fdb75284a8dea24bdb8de4b4f98257c6186d2cea56152d9</t>
        </is>
      </c>
      <c r="J9" s="7" t="inlineStr">
        <is>
          <t>protocol configs/experiments/gt-primary-2026-10-13-fusion.yaml (first commit b60d149 2026-10-13T13:32:50+05:30)</t>
        </is>
      </c>
      <c r="K9" s="7" t="inlineStr">
        <is>
          <t>local / reproducible-only (git-ignored)</t>
        </is>
      </c>
    </row>
    <row r="10">
      <c r="A10" s="7" t="inlineStr">
        <is>
          <t>fus.trend.rmse30</t>
        </is>
      </c>
      <c r="B10" s="7" t="inlineStr">
        <is>
          <t>Serving test: Linear trend, 30 min, rmse</t>
        </is>
      </c>
      <c r="C10" s="8" t="n">
        <v>21.03483588325092</v>
      </c>
      <c r="D10" s="7" t="inlineStr">
        <is>
          <t>mg/dL</t>
        </is>
      </c>
      <c r="E10" s="7" t="inlineStr">
        <is>
          <t>fusion</t>
        </is>
      </c>
      <c r="F10" s="7" t="inlineStr">
        <is>
          <t>artifacts/experiments/gt-primary-2026-10-13-fusion/metrics.json</t>
        </is>
      </c>
      <c r="G10" s="7" t="inlineStr">
        <is>
          <t>/forecast_results[label=linear_trend:cgm-only-v1&amp;personalization=off&amp;split=test&amp;horizon=30]/rmse</t>
        </is>
      </c>
      <c r="H10" s="7" t="inlineStr">
        <is>
          <t>2026-10-13T08:02:25+00:00</t>
        </is>
      </c>
      <c r="I10" s="7" t="inlineStr">
        <is>
          <t>ec8d2e7aedb517e73fdb75284a8dea24bdb8de4b4f98257c6186d2cea56152d9</t>
        </is>
      </c>
      <c r="J10" s="7" t="inlineStr">
        <is>
          <t>protocol configs/experiments/gt-primary-2026-10-13-fusion.yaml (first commit b60d149 2026-10-13T13:32:50+05:30)</t>
        </is>
      </c>
      <c r="K10" s="7" t="inlineStr">
        <is>
          <t>local / reproducible-only (git-ignored)</t>
        </is>
      </c>
    </row>
    <row r="11">
      <c r="A11" s="7" t="inlineStr">
        <is>
          <t>fus.trend.mae60</t>
        </is>
      </c>
      <c r="B11" s="7" t="inlineStr">
        <is>
          <t>Serving test (final test segment): Linear trend, 60 min, mae (macro over participants)</t>
        </is>
      </c>
      <c r="C11" s="8" t="n">
        <v>23.23128691276743</v>
      </c>
      <c r="D11" s="7" t="inlineStr">
        <is>
          <t>mg/dL</t>
        </is>
      </c>
      <c r="E11" s="7" t="inlineStr">
        <is>
          <t>fusion</t>
        </is>
      </c>
      <c r="F11" s="7" t="inlineStr">
        <is>
          <t>artifacts/experiments/gt-primary-2026-10-13-fusion/metrics.json</t>
        </is>
      </c>
      <c r="G11" s="7" t="inlineStr">
        <is>
          <t>/forecast_results[label=linear_trend:cgm-only-v1&amp;personalization=off&amp;split=test&amp;horizon=60]/mae</t>
        </is>
      </c>
      <c r="H11" s="7" t="inlineStr">
        <is>
          <t>2026-10-13T08:02:25+00:00</t>
        </is>
      </c>
      <c r="I11" s="7" t="inlineStr">
        <is>
          <t>ec8d2e7aedb517e73fdb75284a8dea24bdb8de4b4f98257c6186d2cea56152d9</t>
        </is>
      </c>
      <c r="J11" s="7" t="inlineStr">
        <is>
          <t>protocol configs/experiments/gt-primary-2026-10-13-fusion.yaml (first commit b60d149 2026-10-13T13:32:50+05:30)</t>
        </is>
      </c>
      <c r="K11" s="7" t="inlineStr">
        <is>
          <t>local / reproducible-only (git-ignored)</t>
        </is>
      </c>
    </row>
    <row r="12">
      <c r="A12" s="7" t="inlineStr">
        <is>
          <t>fus.trend.rmse60</t>
        </is>
      </c>
      <c r="B12" s="7" t="inlineStr">
        <is>
          <t>Serving test: Linear trend, 60 min, rmse</t>
        </is>
      </c>
      <c r="C12" s="8" t="n">
        <v>33.95926246826915</v>
      </c>
      <c r="D12" s="7" t="inlineStr">
        <is>
          <t>mg/dL</t>
        </is>
      </c>
      <c r="E12" s="7" t="inlineStr">
        <is>
          <t>fusion</t>
        </is>
      </c>
      <c r="F12" s="7" t="inlineStr">
        <is>
          <t>artifacts/experiments/gt-primary-2026-10-13-fusion/metrics.json</t>
        </is>
      </c>
      <c r="G12" s="7" t="inlineStr">
        <is>
          <t>/forecast_results[label=linear_trend:cgm-only-v1&amp;personalization=off&amp;split=test&amp;horizon=60]/rmse</t>
        </is>
      </c>
      <c r="H12" s="7" t="inlineStr">
        <is>
          <t>2026-10-13T08:02:25+00:00</t>
        </is>
      </c>
      <c r="I12" s="7" t="inlineStr">
        <is>
          <t>ec8d2e7aedb517e73fdb75284a8dea24bdb8de4b4f98257c6186d2cea56152d9</t>
        </is>
      </c>
      <c r="J12" s="7" t="inlineStr">
        <is>
          <t>protocol configs/experiments/gt-primary-2026-10-13-fusion.yaml (first commit b60d149 2026-10-13T13:32:50+05:30)</t>
        </is>
      </c>
      <c r="K12" s="7" t="inlineStr">
        <is>
          <t>local / reproducible-only (git-ignored)</t>
        </is>
      </c>
    </row>
    <row r="13">
      <c r="A13" s="7" t="inlineStr">
        <is>
          <t>fus.ridgep.mae30</t>
        </is>
      </c>
      <c r="B13" s="7" t="inlineStr">
        <is>
          <t>Serving test (final test segment): Ridge, dynamic + profile, 30 min, mae (macro over participants)</t>
        </is>
      </c>
      <c r="C13" s="8" t="n">
        <v>14.60667743364754</v>
      </c>
      <c r="D13" s="7" t="inlineStr">
        <is>
          <t>mg/dL</t>
        </is>
      </c>
      <c r="E13" s="7" t="inlineStr">
        <is>
          <t>fusion</t>
        </is>
      </c>
      <c r="F13" s="7" t="inlineStr">
        <is>
          <t>artifacts/experiments/gt-primary-2026-10-13-fusion/metrics.json</t>
        </is>
      </c>
      <c r="G13" s="7" t="inlineStr">
        <is>
          <t>/forecast_results[label=ridge:dyn-prof-v2&amp;personalization=off&amp;split=test&amp;horizon=30]/mae</t>
        </is>
      </c>
      <c r="H13" s="7" t="inlineStr">
        <is>
          <t>2026-10-13T08:02:25+00:00</t>
        </is>
      </c>
      <c r="I13" s="7" t="inlineStr">
        <is>
          <t>ec8d2e7aedb517e73fdb75284a8dea24bdb8de4b4f98257c6186d2cea56152d9</t>
        </is>
      </c>
      <c r="J13" s="7" t="inlineStr">
        <is>
          <t>protocol configs/experiments/gt-primary-2026-10-13-fusion.yaml (first commit b60d149 2026-10-13T13:32:50+05:30)</t>
        </is>
      </c>
      <c r="K13" s="7" t="inlineStr">
        <is>
          <t>local / reproducible-only (git-ignored)</t>
        </is>
      </c>
    </row>
    <row r="14">
      <c r="A14" s="7" t="inlineStr">
        <is>
          <t>fus.ridgep.rmse30</t>
        </is>
      </c>
      <c r="B14" s="7" t="inlineStr">
        <is>
          <t>Serving test: Ridge, dynamic + profile, 30 min, rmse</t>
        </is>
      </c>
      <c r="C14" s="8" t="n">
        <v>21.2487207153942</v>
      </c>
      <c r="D14" s="7" t="inlineStr">
        <is>
          <t>mg/dL</t>
        </is>
      </c>
      <c r="E14" s="7" t="inlineStr">
        <is>
          <t>fusion</t>
        </is>
      </c>
      <c r="F14" s="7" t="inlineStr">
        <is>
          <t>artifacts/experiments/gt-primary-2026-10-13-fusion/metrics.json</t>
        </is>
      </c>
      <c r="G14" s="7" t="inlineStr">
        <is>
          <t>/forecast_results[label=ridge:dyn-prof-v2&amp;personalization=off&amp;split=test&amp;horizon=30]/rmse</t>
        </is>
      </c>
      <c r="H14" s="7" t="inlineStr">
        <is>
          <t>2026-10-13T08:02:25+00:00</t>
        </is>
      </c>
      <c r="I14" s="7" t="inlineStr">
        <is>
          <t>ec8d2e7aedb517e73fdb75284a8dea24bdb8de4b4f98257c6186d2cea56152d9</t>
        </is>
      </c>
      <c r="J14" s="7" t="inlineStr">
        <is>
          <t>protocol configs/experiments/gt-primary-2026-10-13-fusion.yaml (first commit b60d149 2026-10-13T13:32:50+05:30)</t>
        </is>
      </c>
      <c r="K14" s="7" t="inlineStr">
        <is>
          <t>local / reproducible-only (git-ignored)</t>
        </is>
      </c>
    </row>
    <row r="15">
      <c r="A15" s="7" t="inlineStr">
        <is>
          <t>fus.ridgep.mae60</t>
        </is>
      </c>
      <c r="B15" s="7" t="inlineStr">
        <is>
          <t>Serving test (final test segment): Ridge, dynamic + profile, 60 min, mae (macro over participants)</t>
        </is>
      </c>
      <c r="C15" s="8" t="n">
        <v>22.96439598023863</v>
      </c>
      <c r="D15" s="7" t="inlineStr">
        <is>
          <t>mg/dL</t>
        </is>
      </c>
      <c r="E15" s="7" t="inlineStr">
        <is>
          <t>fusion</t>
        </is>
      </c>
      <c r="F15" s="7" t="inlineStr">
        <is>
          <t>artifacts/experiments/gt-primary-2026-10-13-fusion/metrics.json</t>
        </is>
      </c>
      <c r="G15" s="7" t="inlineStr">
        <is>
          <t>/forecast_results[label=ridge:dyn-prof-v2&amp;personalization=off&amp;split=test&amp;horizon=60]/mae</t>
        </is>
      </c>
      <c r="H15" s="7" t="inlineStr">
        <is>
          <t>2026-10-13T08:02:25+00:00</t>
        </is>
      </c>
      <c r="I15" s="7" t="inlineStr">
        <is>
          <t>ec8d2e7aedb517e73fdb75284a8dea24bdb8de4b4f98257c6186d2cea56152d9</t>
        </is>
      </c>
      <c r="J15" s="7" t="inlineStr">
        <is>
          <t>protocol configs/experiments/gt-primary-2026-10-13-fusion.yaml (first commit b60d149 2026-10-13T13:32:50+05:30)</t>
        </is>
      </c>
      <c r="K15" s="7" t="inlineStr">
        <is>
          <t>local / reproducible-only (git-ignored)</t>
        </is>
      </c>
    </row>
    <row r="16">
      <c r="A16" s="7" t="inlineStr">
        <is>
          <t>fus.ridgep.rmse60</t>
        </is>
      </c>
      <c r="B16" s="7" t="inlineStr">
        <is>
          <t>Serving test: Ridge, dynamic + profile, 60 min, rmse</t>
        </is>
      </c>
      <c r="C16" s="8" t="n">
        <v>31.8311242917689</v>
      </c>
      <c r="D16" s="7" t="inlineStr">
        <is>
          <t>mg/dL</t>
        </is>
      </c>
      <c r="E16" s="7" t="inlineStr">
        <is>
          <t>fusion</t>
        </is>
      </c>
      <c r="F16" s="7" t="inlineStr">
        <is>
          <t>artifacts/experiments/gt-primary-2026-10-13-fusion/metrics.json</t>
        </is>
      </c>
      <c r="G16" s="7" t="inlineStr">
        <is>
          <t>/forecast_results[label=ridge:dyn-prof-v2&amp;personalization=off&amp;split=test&amp;horizon=60]/rmse</t>
        </is>
      </c>
      <c r="H16" s="7" t="inlineStr">
        <is>
          <t>2026-10-13T08:02:25+00:00</t>
        </is>
      </c>
      <c r="I16" s="7" t="inlineStr">
        <is>
          <t>ec8d2e7aedb517e73fdb75284a8dea24bdb8de4b4f98257c6186d2cea56152d9</t>
        </is>
      </c>
      <c r="J16" s="7" t="inlineStr">
        <is>
          <t>protocol configs/experiments/gt-primary-2026-10-13-fusion.yaml (first commit b60d149 2026-10-13T13:32:50+05:30)</t>
        </is>
      </c>
      <c r="K16" s="7" t="inlineStr">
        <is>
          <t>local / reproducible-only (git-ignored)</t>
        </is>
      </c>
    </row>
    <row r="17">
      <c r="A17" s="7" t="inlineStr">
        <is>
          <t>fus.v2a.mae30</t>
        </is>
      </c>
      <c r="B17" s="7" t="inlineStr">
        <is>
          <t>Serving test (final test segment): LightGBM dynamic-only + correction (previous demo model, v2), 30 min, mae (macro over participants)</t>
        </is>
      </c>
      <c r="C17" s="8" t="n">
        <v>13.14692723938271</v>
      </c>
      <c r="D17" s="7" t="inlineStr">
        <is>
          <t>mg/dL</t>
        </is>
      </c>
      <c r="E17" s="7" t="inlineStr">
        <is>
          <t>fusion</t>
        </is>
      </c>
      <c r="F17" s="7" t="inlineStr">
        <is>
          <t>artifacts/experiments/gt-primary-2026-10-13-fusion/metrics.json</t>
        </is>
      </c>
      <c r="G17" s="7" t="inlineStr">
        <is>
          <t>/forecast_results[label=lightgbm:dyn-v2&amp;personalization=adaptive&amp;split=test&amp;horizon=30]/mae</t>
        </is>
      </c>
      <c r="H17" s="7" t="inlineStr">
        <is>
          <t>2026-10-13T08:02:25+00:00</t>
        </is>
      </c>
      <c r="I17" s="7" t="inlineStr">
        <is>
          <t>ec8d2e7aedb517e73fdb75284a8dea24bdb8de4b4f98257c6186d2cea56152d9</t>
        </is>
      </c>
      <c r="J17" s="7" t="inlineStr">
        <is>
          <t>protocol configs/experiments/gt-primary-2026-10-13-fusion.yaml (first commit b60d149 2026-10-13T13:32:50+05:30)</t>
        </is>
      </c>
      <c r="K17" s="7" t="inlineStr">
        <is>
          <t>local / reproducible-only (git-ignored)</t>
        </is>
      </c>
    </row>
    <row r="18">
      <c r="A18" s="7" t="inlineStr">
        <is>
          <t>fus.v2a.rmse30</t>
        </is>
      </c>
      <c r="B18" s="7" t="inlineStr">
        <is>
          <t>Serving test: LightGBM dynamic-only + correction (previous demo model, v2), 30 min, rmse</t>
        </is>
      </c>
      <c r="C18" s="8" t="n">
        <v>19.26052781873849</v>
      </c>
      <c r="D18" s="7" t="inlineStr">
        <is>
          <t>mg/dL</t>
        </is>
      </c>
      <c r="E18" s="7" t="inlineStr">
        <is>
          <t>fusion</t>
        </is>
      </c>
      <c r="F18" s="7" t="inlineStr">
        <is>
          <t>artifacts/experiments/gt-primary-2026-10-13-fusion/metrics.json</t>
        </is>
      </c>
      <c r="G18" s="7" t="inlineStr">
        <is>
          <t>/forecast_results[label=lightgbm:dyn-v2&amp;personalization=adaptive&amp;split=test&amp;horizon=30]/rmse</t>
        </is>
      </c>
      <c r="H18" s="7" t="inlineStr">
        <is>
          <t>2026-10-13T08:02:25+00:00</t>
        </is>
      </c>
      <c r="I18" s="7" t="inlineStr">
        <is>
          <t>ec8d2e7aedb517e73fdb75284a8dea24bdb8de4b4f98257c6186d2cea56152d9</t>
        </is>
      </c>
      <c r="J18" s="7" t="inlineStr">
        <is>
          <t>protocol configs/experiments/gt-primary-2026-10-13-fusion.yaml (first commit b60d149 2026-10-13T13:32:50+05:30)</t>
        </is>
      </c>
      <c r="K18" s="7" t="inlineStr">
        <is>
          <t>local / reproducible-only (git-ignored)</t>
        </is>
      </c>
    </row>
    <row r="19">
      <c r="A19" s="7" t="inlineStr">
        <is>
          <t>fus.v2a.mae60</t>
        </is>
      </c>
      <c r="B19" s="7" t="inlineStr">
        <is>
          <t>Serving test (final test segment): LightGBM dynamic-only + correction (previous demo model, v2), 60 min, mae (macro over participants)</t>
        </is>
      </c>
      <c r="C19" s="8" t="n">
        <v>20.80741725048299</v>
      </c>
      <c r="D19" s="7" t="inlineStr">
        <is>
          <t>mg/dL</t>
        </is>
      </c>
      <c r="E19" s="7" t="inlineStr">
        <is>
          <t>fusion</t>
        </is>
      </c>
      <c r="F19" s="7" t="inlineStr">
        <is>
          <t>artifacts/experiments/gt-primary-2026-10-13-fusion/metrics.json</t>
        </is>
      </c>
      <c r="G19" s="7" t="inlineStr">
        <is>
          <t>/forecast_results[label=lightgbm:dyn-v2&amp;personalization=adaptive&amp;split=test&amp;horizon=60]/mae</t>
        </is>
      </c>
      <c r="H19" s="7" t="inlineStr">
        <is>
          <t>2026-10-13T08:02:25+00:00</t>
        </is>
      </c>
      <c r="I19" s="7" t="inlineStr">
        <is>
          <t>ec8d2e7aedb517e73fdb75284a8dea24bdb8de4b4f98257c6186d2cea56152d9</t>
        </is>
      </c>
      <c r="J19" s="7" t="inlineStr">
        <is>
          <t>protocol configs/experiments/gt-primary-2026-10-13-fusion.yaml (first commit b60d149 2026-10-13T13:32:50+05:30)</t>
        </is>
      </c>
      <c r="K19" s="7" t="inlineStr">
        <is>
          <t>local / reproducible-only (git-ignored)</t>
        </is>
      </c>
    </row>
    <row r="20">
      <c r="A20" s="7" t="inlineStr">
        <is>
          <t>fus.v2a.rmse60</t>
        </is>
      </c>
      <c r="B20" s="7" t="inlineStr">
        <is>
          <t>Serving test: LightGBM dynamic-only + correction (previous demo model, v2), 60 min, rmse</t>
        </is>
      </c>
      <c r="C20" s="8" t="n">
        <v>29.06886426257341</v>
      </c>
      <c r="D20" s="7" t="inlineStr">
        <is>
          <t>mg/dL</t>
        </is>
      </c>
      <c r="E20" s="7" t="inlineStr">
        <is>
          <t>fusion</t>
        </is>
      </c>
      <c r="F20" s="7" t="inlineStr">
        <is>
          <t>artifacts/experiments/gt-primary-2026-10-13-fusion/metrics.json</t>
        </is>
      </c>
      <c r="G20" s="7" t="inlineStr">
        <is>
          <t>/forecast_results[label=lightgbm:dyn-v2&amp;personalization=adaptive&amp;split=test&amp;horizon=60]/rmse</t>
        </is>
      </c>
      <c r="H20" s="7" t="inlineStr">
        <is>
          <t>2026-10-13T08:02:25+00:00</t>
        </is>
      </c>
      <c r="I20" s="7" t="inlineStr">
        <is>
          <t>ec8d2e7aedb517e73fdb75284a8dea24bdb8de4b4f98257c6186d2cea56152d9</t>
        </is>
      </c>
      <c r="J20" s="7" t="inlineStr">
        <is>
          <t>protocol configs/experiments/gt-primary-2026-10-13-fusion.yaml (first commit b60d149 2026-10-13T13:32:50+05:30)</t>
        </is>
      </c>
      <c r="K20" s="7" t="inlineStr">
        <is>
          <t>local / reproducible-only (git-ignored)</t>
        </is>
      </c>
    </row>
    <row r="21">
      <c r="A21" s="7" t="inlineStr">
        <is>
          <t>fus.lgbp.mae30</t>
        </is>
      </c>
      <c r="B21" s="7" t="inlineStr">
        <is>
          <t>Serving test (final test segment): LightGBM + profile, population, 30 min, mae (macro over participants)</t>
        </is>
      </c>
      <c r="C21" s="8" t="n">
        <v>13.13576051456747</v>
      </c>
      <c r="D21" s="7" t="inlineStr">
        <is>
          <t>mg/dL</t>
        </is>
      </c>
      <c r="E21" s="7" t="inlineStr">
        <is>
          <t>fusion</t>
        </is>
      </c>
      <c r="F21" s="7" t="inlineStr">
        <is>
          <t>artifacts/experiments/gt-primary-2026-10-13-fusion/metrics.json</t>
        </is>
      </c>
      <c r="G21" s="7" t="inlineStr">
        <is>
          <t>/forecast_results[label=lightgbm:dyn-prof-v2&amp;personalization=off&amp;split=test&amp;horizon=30]/mae</t>
        </is>
      </c>
      <c r="H21" s="7" t="inlineStr">
        <is>
          <t>2026-10-13T08:02:25+00:00</t>
        </is>
      </c>
      <c r="I21" s="7" t="inlineStr">
        <is>
          <t>ec8d2e7aedb517e73fdb75284a8dea24bdb8de4b4f98257c6186d2cea56152d9</t>
        </is>
      </c>
      <c r="J21" s="7" t="inlineStr">
        <is>
          <t>protocol configs/experiments/gt-primary-2026-10-13-fusion.yaml (first commit b60d149 2026-10-13T13:32:50+05:30)</t>
        </is>
      </c>
      <c r="K21" s="7" t="inlineStr">
        <is>
          <t>local / reproducible-only (git-ignored)</t>
        </is>
      </c>
    </row>
    <row r="22">
      <c r="A22" s="7" t="inlineStr">
        <is>
          <t>fus.lgbp.rmse30</t>
        </is>
      </c>
      <c r="B22" s="7" t="inlineStr">
        <is>
          <t>Serving test: LightGBM + profile, population, 30 min, rmse</t>
        </is>
      </c>
      <c r="C22" s="8" t="n">
        <v>18.85858424301855</v>
      </c>
      <c r="D22" s="7" t="inlineStr">
        <is>
          <t>mg/dL</t>
        </is>
      </c>
      <c r="E22" s="7" t="inlineStr">
        <is>
          <t>fusion</t>
        </is>
      </c>
      <c r="F22" s="7" t="inlineStr">
        <is>
          <t>artifacts/experiments/gt-primary-2026-10-13-fusion/metrics.json</t>
        </is>
      </c>
      <c r="G22" s="7" t="inlineStr">
        <is>
          <t>/forecast_results[label=lightgbm:dyn-prof-v2&amp;personalization=off&amp;split=test&amp;horizon=30]/rmse</t>
        </is>
      </c>
      <c r="H22" s="7" t="inlineStr">
        <is>
          <t>2026-10-13T08:02:25+00:00</t>
        </is>
      </c>
      <c r="I22" s="7" t="inlineStr">
        <is>
          <t>ec8d2e7aedb517e73fdb75284a8dea24bdb8de4b4f98257c6186d2cea56152d9</t>
        </is>
      </c>
      <c r="J22" s="7" t="inlineStr">
        <is>
          <t>protocol configs/experiments/gt-primary-2026-10-13-fusion.yaml (first commit b60d149 2026-10-13T13:32:50+05:30)</t>
        </is>
      </c>
      <c r="K22" s="7" t="inlineStr">
        <is>
          <t>local / reproducible-only (git-ignored)</t>
        </is>
      </c>
    </row>
    <row r="23">
      <c r="A23" s="7" t="inlineStr">
        <is>
          <t>fus.lgbp.mae60</t>
        </is>
      </c>
      <c r="B23" s="7" t="inlineStr">
        <is>
          <t>Serving test (final test segment): LightGBM + profile, population, 60 min, mae (macro over participants)</t>
        </is>
      </c>
      <c r="C23" s="8" t="n">
        <v>20.59096609252992</v>
      </c>
      <c r="D23" s="7" t="inlineStr">
        <is>
          <t>mg/dL</t>
        </is>
      </c>
      <c r="E23" s="7" t="inlineStr">
        <is>
          <t>fusion</t>
        </is>
      </c>
      <c r="F23" s="7" t="inlineStr">
        <is>
          <t>artifacts/experiments/gt-primary-2026-10-13-fusion/metrics.json</t>
        </is>
      </c>
      <c r="G23" s="7" t="inlineStr">
        <is>
          <t>/forecast_results[label=lightgbm:dyn-prof-v2&amp;personalization=off&amp;split=test&amp;horizon=60]/mae</t>
        </is>
      </c>
      <c r="H23" s="7" t="inlineStr">
        <is>
          <t>2026-10-13T08:02:25+00:00</t>
        </is>
      </c>
      <c r="I23" s="7" t="inlineStr">
        <is>
          <t>ec8d2e7aedb517e73fdb75284a8dea24bdb8de4b4f98257c6186d2cea56152d9</t>
        </is>
      </c>
      <c r="J23" s="7" t="inlineStr">
        <is>
          <t>protocol configs/experiments/gt-primary-2026-10-13-fusion.yaml (first commit b60d149 2026-10-13T13:32:50+05:30)</t>
        </is>
      </c>
      <c r="K23" s="7" t="inlineStr">
        <is>
          <t>local / reproducible-only (git-ignored)</t>
        </is>
      </c>
    </row>
    <row r="24">
      <c r="A24" s="7" t="inlineStr">
        <is>
          <t>fus.lgbp.rmse60</t>
        </is>
      </c>
      <c r="B24" s="7" t="inlineStr">
        <is>
          <t>Serving test: LightGBM + profile, population, 60 min, rmse</t>
        </is>
      </c>
      <c r="C24" s="8" t="n">
        <v>28.13599633230525</v>
      </c>
      <c r="D24" s="7" t="inlineStr">
        <is>
          <t>mg/dL</t>
        </is>
      </c>
      <c r="E24" s="7" t="inlineStr">
        <is>
          <t>fusion</t>
        </is>
      </c>
      <c r="F24" s="7" t="inlineStr">
        <is>
          <t>artifacts/experiments/gt-primary-2026-10-13-fusion/metrics.json</t>
        </is>
      </c>
      <c r="G24" s="7" t="inlineStr">
        <is>
          <t>/forecast_results[label=lightgbm:dyn-prof-v2&amp;personalization=off&amp;split=test&amp;horizon=60]/rmse</t>
        </is>
      </c>
      <c r="H24" s="7" t="inlineStr">
        <is>
          <t>2026-10-13T08:02:25+00:00</t>
        </is>
      </c>
      <c r="I24" s="7" t="inlineStr">
        <is>
          <t>ec8d2e7aedb517e73fdb75284a8dea24bdb8de4b4f98257c6186d2cea56152d9</t>
        </is>
      </c>
      <c r="J24" s="7" t="inlineStr">
        <is>
          <t>protocol configs/experiments/gt-primary-2026-10-13-fusion.yaml (first commit b60d149 2026-10-13T13:32:50+05:30)</t>
        </is>
      </c>
      <c r="K24" s="7" t="inlineStr">
        <is>
          <t>local / reproducible-only (git-ignored)</t>
        </is>
      </c>
    </row>
    <row r="25">
      <c r="A25" s="7" t="inlineStr">
        <is>
          <t>fus.serv.mae30</t>
        </is>
      </c>
      <c r="B25" s="7" t="inlineStr">
        <is>
          <t>Serving test (final test segment): LightGBM + profile + correction (serving), 30 min, mae (macro over participants)</t>
        </is>
      </c>
      <c r="C25" s="8" t="n">
        <v>12.95628848618538</v>
      </c>
      <c r="D25" s="7" t="inlineStr">
        <is>
          <t>mg/dL</t>
        </is>
      </c>
      <c r="E25" s="7" t="inlineStr">
        <is>
          <t>fusion</t>
        </is>
      </c>
      <c r="F25" s="7" t="inlineStr">
        <is>
          <t>artifacts/experiments/gt-primary-2026-10-13-fusion/metrics.json</t>
        </is>
      </c>
      <c r="G25" s="7" t="inlineStr">
        <is>
          <t>/forecast_results[label=lightgbm:dyn-prof-v2&amp;personalization=adaptive&amp;split=test&amp;horizon=30]/mae</t>
        </is>
      </c>
      <c r="H25" s="7" t="inlineStr">
        <is>
          <t>2026-10-13T08:02:25+00:00</t>
        </is>
      </c>
      <c r="I25" s="7" t="inlineStr">
        <is>
          <t>ec8d2e7aedb517e73fdb75284a8dea24bdb8de4b4f98257c6186d2cea56152d9</t>
        </is>
      </c>
      <c r="J25" s="7" t="inlineStr">
        <is>
          <t>protocol configs/experiments/gt-primary-2026-10-13-fusion.yaml (first commit b60d149 2026-10-13T13:32:50+05:30)</t>
        </is>
      </c>
      <c r="K25" s="7" t="inlineStr">
        <is>
          <t>local / reproducible-only (git-ignored)</t>
        </is>
      </c>
    </row>
    <row r="26">
      <c r="A26" s="7" t="inlineStr">
        <is>
          <t>fus.serv.rmse30</t>
        </is>
      </c>
      <c r="B26" s="7" t="inlineStr">
        <is>
          <t>Serving test: LightGBM + profile + correction (serving), 30 min, rmse</t>
        </is>
      </c>
      <c r="C26" s="8" t="n">
        <v>18.79066876104828</v>
      </c>
      <c r="D26" s="7" t="inlineStr">
        <is>
          <t>mg/dL</t>
        </is>
      </c>
      <c r="E26" s="7" t="inlineStr">
        <is>
          <t>fusion</t>
        </is>
      </c>
      <c r="F26" s="7" t="inlineStr">
        <is>
          <t>artifacts/experiments/gt-primary-2026-10-13-fusion/metrics.json</t>
        </is>
      </c>
      <c r="G26" s="7" t="inlineStr">
        <is>
          <t>/forecast_results[label=lightgbm:dyn-prof-v2&amp;personalization=adaptive&amp;split=test&amp;horizon=30]/rmse</t>
        </is>
      </c>
      <c r="H26" s="7" t="inlineStr">
        <is>
          <t>2026-10-13T08:02:25+00:00</t>
        </is>
      </c>
      <c r="I26" s="7" t="inlineStr">
        <is>
          <t>ec8d2e7aedb517e73fdb75284a8dea24bdb8de4b4f98257c6186d2cea56152d9</t>
        </is>
      </c>
      <c r="J26" s="7" t="inlineStr">
        <is>
          <t>protocol configs/experiments/gt-primary-2026-10-13-fusion.yaml (first commit b60d149 2026-10-13T13:32:50+05:30)</t>
        </is>
      </c>
      <c r="K26" s="7" t="inlineStr">
        <is>
          <t>local / reproducible-only (git-ignored)</t>
        </is>
      </c>
    </row>
    <row r="27">
      <c r="A27" s="7" t="inlineStr">
        <is>
          <t>fus.serv.n_origins30</t>
        </is>
      </c>
      <c r="B27" s="7" t="inlineStr">
        <is>
          <t>Serving test: LightGBM + profile + correction (serving), 30 min, n_origins</t>
        </is>
      </c>
      <c r="C27" s="7" t="n">
        <v>7699</v>
      </c>
      <c r="D27" s="7" t="inlineStr">
        <is>
          <t>origins</t>
        </is>
      </c>
      <c r="E27" s="7" t="inlineStr">
        <is>
          <t>fusion</t>
        </is>
      </c>
      <c r="F27" s="7" t="inlineStr">
        <is>
          <t>artifacts/experiments/gt-primary-2026-10-13-fusion/metrics.json</t>
        </is>
      </c>
      <c r="G27" s="7" t="inlineStr">
        <is>
          <t>/forecast_results[label=lightgbm:dyn-prof-v2&amp;personalization=adaptive&amp;split=test&amp;horizon=30]/n_origins</t>
        </is>
      </c>
      <c r="H27" s="7" t="inlineStr">
        <is>
          <t>2026-10-13T08:02:25+00:00</t>
        </is>
      </c>
      <c r="I27" s="7" t="inlineStr">
        <is>
          <t>ec8d2e7aedb517e73fdb75284a8dea24bdb8de4b4f98257c6186d2cea56152d9</t>
        </is>
      </c>
      <c r="J27" s="7" t="inlineStr">
        <is>
          <t>protocol configs/experiments/gt-primary-2026-10-13-fusion.yaml (first commit b60d149 2026-10-13T13:32:50+05:30)</t>
        </is>
      </c>
      <c r="K27" s="7" t="inlineStr">
        <is>
          <t>local / reproducible-only (git-ignored)</t>
        </is>
      </c>
    </row>
    <row r="28">
      <c r="A28" s="7" t="inlineStr">
        <is>
          <t>fus.serv.n_patients30</t>
        </is>
      </c>
      <c r="B28" s="7" t="inlineStr">
        <is>
          <t>Serving test: LightGBM + profile + correction (serving), 30 min, n_patients</t>
        </is>
      </c>
      <c r="C28" s="7" t="n">
        <v>14</v>
      </c>
      <c r="D28" s="7" t="inlineStr">
        <is>
          <t>people</t>
        </is>
      </c>
      <c r="E28" s="7" t="inlineStr">
        <is>
          <t>fusion</t>
        </is>
      </c>
      <c r="F28" s="7" t="inlineStr">
        <is>
          <t>artifacts/experiments/gt-primary-2026-10-13-fusion/metrics.json</t>
        </is>
      </c>
      <c r="G28" s="7" t="inlineStr">
        <is>
          <t>/forecast_results[label=lightgbm:dyn-prof-v2&amp;personalization=adaptive&amp;split=test&amp;horizon=30]/n_patients</t>
        </is>
      </c>
      <c r="H28" s="7" t="inlineStr">
        <is>
          <t>2026-10-13T08:02:25+00:00</t>
        </is>
      </c>
      <c r="I28" s="7" t="inlineStr">
        <is>
          <t>ec8d2e7aedb517e73fdb75284a8dea24bdb8de4b4f98257c6186d2cea56152d9</t>
        </is>
      </c>
      <c r="J28" s="7" t="inlineStr">
        <is>
          <t>protocol configs/experiments/gt-primary-2026-10-13-fusion.yaml (first commit b60d149 2026-10-13T13:32:50+05:30)</t>
        </is>
      </c>
      <c r="K28" s="7" t="inlineStr">
        <is>
          <t>local / reproducible-only (git-ignored)</t>
        </is>
      </c>
    </row>
    <row r="29">
      <c r="A29" s="7" t="inlineStr">
        <is>
          <t>fus.serv.mae60</t>
        </is>
      </c>
      <c r="B29" s="7" t="inlineStr">
        <is>
          <t>Serving test (final test segment): LightGBM + profile + correction (serving), 60 min, mae (macro over participants)</t>
        </is>
      </c>
      <c r="C29" s="8" t="n">
        <v>20.26433309178723</v>
      </c>
      <c r="D29" s="7" t="inlineStr">
        <is>
          <t>mg/dL</t>
        </is>
      </c>
      <c r="E29" s="7" t="inlineStr">
        <is>
          <t>fusion</t>
        </is>
      </c>
      <c r="F29" s="7" t="inlineStr">
        <is>
          <t>artifacts/experiments/gt-primary-2026-10-13-fusion/metrics.json</t>
        </is>
      </c>
      <c r="G29" s="7" t="inlineStr">
        <is>
          <t>/forecast_results[label=lightgbm:dyn-prof-v2&amp;personalization=adaptive&amp;split=test&amp;horizon=60]/mae</t>
        </is>
      </c>
      <c r="H29" s="7" t="inlineStr">
        <is>
          <t>2026-10-13T08:02:25+00:00</t>
        </is>
      </c>
      <c r="I29" s="7" t="inlineStr">
        <is>
          <t>ec8d2e7aedb517e73fdb75284a8dea24bdb8de4b4f98257c6186d2cea56152d9</t>
        </is>
      </c>
      <c r="J29" s="7" t="inlineStr">
        <is>
          <t>protocol configs/experiments/gt-primary-2026-10-13-fusion.yaml (first commit b60d149 2026-10-13T13:32:50+05:30)</t>
        </is>
      </c>
      <c r="K29" s="7" t="inlineStr">
        <is>
          <t>local / reproducible-only (git-ignored)</t>
        </is>
      </c>
    </row>
    <row r="30">
      <c r="A30" s="7" t="inlineStr">
        <is>
          <t>fus.serv.rmse60</t>
        </is>
      </c>
      <c r="B30" s="7" t="inlineStr">
        <is>
          <t>Serving test: LightGBM + profile + correction (serving), 60 min, rmse</t>
        </is>
      </c>
      <c r="C30" s="8" t="n">
        <v>28.00394987196635</v>
      </c>
      <c r="D30" s="7" t="inlineStr">
        <is>
          <t>mg/dL</t>
        </is>
      </c>
      <c r="E30" s="7" t="inlineStr">
        <is>
          <t>fusion</t>
        </is>
      </c>
      <c r="F30" s="7" t="inlineStr">
        <is>
          <t>artifacts/experiments/gt-primary-2026-10-13-fusion/metrics.json</t>
        </is>
      </c>
      <c r="G30" s="7" t="inlineStr">
        <is>
          <t>/forecast_results[label=lightgbm:dyn-prof-v2&amp;personalization=adaptive&amp;split=test&amp;horizon=60]/rmse</t>
        </is>
      </c>
      <c r="H30" s="7" t="inlineStr">
        <is>
          <t>2026-10-13T08:02:25+00:00</t>
        </is>
      </c>
      <c r="I30" s="7" t="inlineStr">
        <is>
          <t>ec8d2e7aedb517e73fdb75284a8dea24bdb8de4b4f98257c6186d2cea56152d9</t>
        </is>
      </c>
      <c r="J30" s="7" t="inlineStr">
        <is>
          <t>protocol configs/experiments/gt-primary-2026-10-13-fusion.yaml (first commit b60d149 2026-10-13T13:32:50+05:30)</t>
        </is>
      </c>
      <c r="K30" s="7" t="inlineStr">
        <is>
          <t>local / reproducible-only (git-ignored)</t>
        </is>
      </c>
    </row>
    <row r="31">
      <c r="A31" s="7" t="inlineStr">
        <is>
          <t>fus.serv.n_origins60</t>
        </is>
      </c>
      <c r="B31" s="7" t="inlineStr">
        <is>
          <t>Serving test: LightGBM + profile + correction (serving), 60 min, n_origins</t>
        </is>
      </c>
      <c r="C31" s="7" t="n">
        <v>7690</v>
      </c>
      <c r="D31" s="7" t="inlineStr">
        <is>
          <t>origins</t>
        </is>
      </c>
      <c r="E31" s="7" t="inlineStr">
        <is>
          <t>fusion</t>
        </is>
      </c>
      <c r="F31" s="7" t="inlineStr">
        <is>
          <t>artifacts/experiments/gt-primary-2026-10-13-fusion/metrics.json</t>
        </is>
      </c>
      <c r="G31" s="7" t="inlineStr">
        <is>
          <t>/forecast_results[label=lightgbm:dyn-prof-v2&amp;personalization=adaptive&amp;split=test&amp;horizon=60]/n_origins</t>
        </is>
      </c>
      <c r="H31" s="7" t="inlineStr">
        <is>
          <t>2026-10-13T08:02:25+00:00</t>
        </is>
      </c>
      <c r="I31" s="7" t="inlineStr">
        <is>
          <t>ec8d2e7aedb517e73fdb75284a8dea24bdb8de4b4f98257c6186d2cea56152d9</t>
        </is>
      </c>
      <c r="J31" s="7" t="inlineStr">
        <is>
          <t>protocol configs/experiments/gt-primary-2026-10-13-fusion.yaml (first commit b60d149 2026-10-13T13:32:50+05:30)</t>
        </is>
      </c>
      <c r="K31" s="7" t="inlineStr">
        <is>
          <t>local / reproducible-only (git-ignored)</t>
        </is>
      </c>
    </row>
    <row r="32">
      <c r="A32" s="7" t="inlineStr">
        <is>
          <t>fus.serv.n_patients60</t>
        </is>
      </c>
      <c r="B32" s="7" t="inlineStr">
        <is>
          <t>Serving test: LightGBM + profile + correction (serving), 60 min, n_patients</t>
        </is>
      </c>
      <c r="C32" s="7" t="n">
        <v>14</v>
      </c>
      <c r="D32" s="7" t="inlineStr">
        <is>
          <t>people</t>
        </is>
      </c>
      <c r="E32" s="7" t="inlineStr">
        <is>
          <t>fusion</t>
        </is>
      </c>
      <c r="F32" s="7" t="inlineStr">
        <is>
          <t>artifacts/experiments/gt-primary-2026-10-13-fusion/metrics.json</t>
        </is>
      </c>
      <c r="G32" s="7" t="inlineStr">
        <is>
          <t>/forecast_results[label=lightgbm:dyn-prof-v2&amp;personalization=adaptive&amp;split=test&amp;horizon=60]/n_patients</t>
        </is>
      </c>
      <c r="H32" s="7" t="inlineStr">
        <is>
          <t>2026-10-13T08:02:25+00:00</t>
        </is>
      </c>
      <c r="I32" s="7" t="inlineStr">
        <is>
          <t>ec8d2e7aedb517e73fdb75284a8dea24bdb8de4b4f98257c6186d2cea56152d9</t>
        </is>
      </c>
      <c r="J32" s="7" t="inlineStr">
        <is>
          <t>protocol configs/experiments/gt-primary-2026-10-13-fusion.yaml (first commit b60d149 2026-10-13T13:32:50+05:30)</t>
        </is>
      </c>
      <c r="K32" s="7" t="inlineStr">
        <is>
          <t>local / reproducible-only (git-ignored)</t>
        </is>
      </c>
    </row>
    <row r="33">
      <c r="A33" s="7" t="inlineStr">
        <is>
          <t>fus.cbpa.mae30</t>
        </is>
      </c>
      <c r="B33" s="7" t="inlineStr">
        <is>
          <t>Serving test (final test segment): CatBoost + profile + correction (not selected), 30 min, mae (macro over participants)</t>
        </is>
      </c>
      <c r="C33" s="8" t="n">
        <v>12.93034066468886</v>
      </c>
      <c r="D33" s="7" t="inlineStr">
        <is>
          <t>mg/dL</t>
        </is>
      </c>
      <c r="E33" s="7" t="inlineStr">
        <is>
          <t>fusion</t>
        </is>
      </c>
      <c r="F33" s="7" t="inlineStr">
        <is>
          <t>artifacts/experiments/gt-primary-2026-10-13-fusion/metrics.json</t>
        </is>
      </c>
      <c r="G33" s="7" t="inlineStr">
        <is>
          <t>/forecast_results[label=catboost:dyn-prof-v2&amp;personalization=adaptive&amp;split=test&amp;horizon=30]/mae</t>
        </is>
      </c>
      <c r="H33" s="7" t="inlineStr">
        <is>
          <t>2026-10-13T08:02:25+00:00</t>
        </is>
      </c>
      <c r="I33" s="7" t="inlineStr">
        <is>
          <t>ec8d2e7aedb517e73fdb75284a8dea24bdb8de4b4f98257c6186d2cea56152d9</t>
        </is>
      </c>
      <c r="J33" s="7" t="inlineStr">
        <is>
          <t>protocol configs/experiments/gt-primary-2026-10-13-fusion.yaml (first commit b60d149 2026-10-13T13:32:50+05:30)</t>
        </is>
      </c>
      <c r="K33" s="7" t="inlineStr">
        <is>
          <t>local / reproducible-only (git-ignored)</t>
        </is>
      </c>
    </row>
    <row r="34">
      <c r="A34" s="7" t="inlineStr">
        <is>
          <t>fus.cbpa.rmse30</t>
        </is>
      </c>
      <c r="B34" s="7" t="inlineStr">
        <is>
          <t>Serving test: CatBoost + profile + correction (not selected), 30 min, rmse</t>
        </is>
      </c>
      <c r="C34" s="8" t="n">
        <v>18.73013198862139</v>
      </c>
      <c r="D34" s="7" t="inlineStr">
        <is>
          <t>mg/dL</t>
        </is>
      </c>
      <c r="E34" s="7" t="inlineStr">
        <is>
          <t>fusion</t>
        </is>
      </c>
      <c r="F34" s="7" t="inlineStr">
        <is>
          <t>artifacts/experiments/gt-primary-2026-10-13-fusion/metrics.json</t>
        </is>
      </c>
      <c r="G34" s="7" t="inlineStr">
        <is>
          <t>/forecast_results[label=catboost:dyn-prof-v2&amp;personalization=adaptive&amp;split=test&amp;horizon=30]/rmse</t>
        </is>
      </c>
      <c r="H34" s="7" t="inlineStr">
        <is>
          <t>2026-10-13T08:02:25+00:00</t>
        </is>
      </c>
      <c r="I34" s="7" t="inlineStr">
        <is>
          <t>ec8d2e7aedb517e73fdb75284a8dea24bdb8de4b4f98257c6186d2cea56152d9</t>
        </is>
      </c>
      <c r="J34" s="7" t="inlineStr">
        <is>
          <t>protocol configs/experiments/gt-primary-2026-10-13-fusion.yaml (first commit b60d149 2026-10-13T13:32:50+05:30)</t>
        </is>
      </c>
      <c r="K34" s="7" t="inlineStr">
        <is>
          <t>local / reproducible-only (git-ignored)</t>
        </is>
      </c>
    </row>
    <row r="35">
      <c r="A35" s="7" t="inlineStr">
        <is>
          <t>fus.cbpa.mae60</t>
        </is>
      </c>
      <c r="B35" s="7" t="inlineStr">
        <is>
          <t>Serving test (final test segment): CatBoost + profile + correction (not selected), 60 min, mae (macro over participants)</t>
        </is>
      </c>
      <c r="C35" s="8" t="n">
        <v>19.80279649718843</v>
      </c>
      <c r="D35" s="7" t="inlineStr">
        <is>
          <t>mg/dL</t>
        </is>
      </c>
      <c r="E35" s="7" t="inlineStr">
        <is>
          <t>fusion</t>
        </is>
      </c>
      <c r="F35" s="7" t="inlineStr">
        <is>
          <t>artifacts/experiments/gt-primary-2026-10-13-fusion/metrics.json</t>
        </is>
      </c>
      <c r="G35" s="7" t="inlineStr">
        <is>
          <t>/forecast_results[label=catboost:dyn-prof-v2&amp;personalization=adaptive&amp;split=test&amp;horizon=60]/mae</t>
        </is>
      </c>
      <c r="H35" s="7" t="inlineStr">
        <is>
          <t>2026-10-13T08:02:25+00:00</t>
        </is>
      </c>
      <c r="I35" s="7" t="inlineStr">
        <is>
          <t>ec8d2e7aedb517e73fdb75284a8dea24bdb8de4b4f98257c6186d2cea56152d9</t>
        </is>
      </c>
      <c r="J35" s="7" t="inlineStr">
        <is>
          <t>protocol configs/experiments/gt-primary-2026-10-13-fusion.yaml (first commit b60d149 2026-10-13T13:32:50+05:30)</t>
        </is>
      </c>
      <c r="K35" s="7" t="inlineStr">
        <is>
          <t>local / reproducible-only (git-ignored)</t>
        </is>
      </c>
    </row>
    <row r="36">
      <c r="A36" s="7" t="inlineStr">
        <is>
          <t>fus.cbpa.rmse60</t>
        </is>
      </c>
      <c r="B36" s="7" t="inlineStr">
        <is>
          <t>Serving test: CatBoost + profile + correction (not selected), 60 min, rmse</t>
        </is>
      </c>
      <c r="C36" s="8" t="n">
        <v>27.72069632319355</v>
      </c>
      <c r="D36" s="7" t="inlineStr">
        <is>
          <t>mg/dL</t>
        </is>
      </c>
      <c r="E36" s="7" t="inlineStr">
        <is>
          <t>fusion</t>
        </is>
      </c>
      <c r="F36" s="7" t="inlineStr">
        <is>
          <t>artifacts/experiments/gt-primary-2026-10-13-fusion/metrics.json</t>
        </is>
      </c>
      <c r="G36" s="7" t="inlineStr">
        <is>
          <t>/forecast_results[label=catboost:dyn-prof-v2&amp;personalization=adaptive&amp;split=test&amp;horizon=60]/rmse</t>
        </is>
      </c>
      <c r="H36" s="7" t="inlineStr">
        <is>
          <t>2026-10-13T08:02:25+00:00</t>
        </is>
      </c>
      <c r="I36" s="7" t="inlineStr">
        <is>
          <t>ec8d2e7aedb517e73fdb75284a8dea24bdb8de4b4f98257c6186d2cea56152d9</t>
        </is>
      </c>
      <c r="J36" s="7" t="inlineStr">
        <is>
          <t>protocol configs/experiments/gt-primary-2026-10-13-fusion.yaml (first commit b60d149 2026-10-13T13:32:50+05:30)</t>
        </is>
      </c>
      <c r="K36" s="7" t="inlineStr">
        <is>
          <t>local / reproducible-only (git-ignored)</t>
        </is>
      </c>
    </row>
    <row r="37">
      <c r="A37" s="7" t="inlineStr">
        <is>
          <t>fus.cmp.sp.d30</t>
        </is>
      </c>
      <c r="B37" s="7" t="inlineStr">
        <is>
          <t>Serving test paired difference, serving minus persistence, 30 min (A minus B; negative = A lower error)</t>
        </is>
      </c>
      <c r="C37" s="8" t="n">
        <v>-1.880312452290315</v>
      </c>
      <c r="D37" s="7" t="inlineStr">
        <is>
          <t>mg/dL</t>
        </is>
      </c>
      <c r="E37" s="7" t="inlineStr">
        <is>
          <t>fusion</t>
        </is>
      </c>
      <c r="F37" s="7" t="inlineStr">
        <is>
          <t>artifacts/experiments/gt-primary-2026-10-13-fusion/metrics.json</t>
        </is>
      </c>
      <c r="G37" s="7" t="inlineStr">
        <is>
          <t>/comparisons[comparison=serving minus persistence&amp;horizon=30]/mean_diff_mae</t>
        </is>
      </c>
      <c r="H37" s="7" t="inlineStr">
        <is>
          <t>2026-10-13T08:02:25+00:00</t>
        </is>
      </c>
      <c r="I37" s="7" t="inlineStr">
        <is>
          <t>ec8d2e7aedb517e73fdb75284a8dea24bdb8de4b4f98257c6186d2cea56152d9</t>
        </is>
      </c>
      <c r="J37" s="7" t="inlineStr">
        <is>
          <t>protocol configs/experiments/gt-primary-2026-10-13-fusion.yaml (first commit b60d149 2026-10-13T13:32:50+05:30)</t>
        </is>
      </c>
      <c r="K37" s="7" t="inlineStr">
        <is>
          <t>local / reproducible-only (git-ignored)</t>
        </is>
      </c>
    </row>
    <row r="38">
      <c r="A38" s="7" t="inlineStr">
        <is>
          <t>fus.cmp.sp.lo30</t>
        </is>
      </c>
      <c r="B38" s="7" t="inlineStr">
        <is>
          <t>95 % CI lower (participant bootstrap)</t>
        </is>
      </c>
      <c r="C38" s="8" t="n">
        <v>-2.533281770671169</v>
      </c>
      <c r="D38" s="7" t="inlineStr">
        <is>
          <t>mg/dL</t>
        </is>
      </c>
      <c r="E38" s="7" t="inlineStr">
        <is>
          <t>fusion</t>
        </is>
      </c>
      <c r="F38" s="7" t="inlineStr">
        <is>
          <t>artifacts/experiments/gt-primary-2026-10-13-fusion/metrics.json</t>
        </is>
      </c>
      <c r="G38" s="7" t="inlineStr">
        <is>
          <t>/comparisons[comparison=serving minus persistence&amp;horizon=30]/ci95[0]</t>
        </is>
      </c>
      <c r="H38" s="7" t="inlineStr">
        <is>
          <t>2026-10-13T08:02:25+00:00</t>
        </is>
      </c>
      <c r="I38" s="7" t="inlineStr">
        <is>
          <t>ec8d2e7aedb517e73fdb75284a8dea24bdb8de4b4f98257c6186d2cea56152d9</t>
        </is>
      </c>
      <c r="J38" s="7" t="inlineStr">
        <is>
          <t>protocol configs/experiments/gt-primary-2026-10-13-fusion.yaml (first commit b60d149 2026-10-13T13:32:50+05:30)</t>
        </is>
      </c>
      <c r="K38" s="7" t="inlineStr">
        <is>
          <t>local / reproducible-only (git-ignored)</t>
        </is>
      </c>
    </row>
    <row r="39">
      <c r="A39" s="7" t="inlineStr">
        <is>
          <t>fus.cmp.sp.hi30</t>
        </is>
      </c>
      <c r="B39" s="7" t="inlineStr">
        <is>
          <t>95 % CI upper (participant bootstrap)</t>
        </is>
      </c>
      <c r="C39" s="8" t="n">
        <v>-1.316816835891558</v>
      </c>
      <c r="D39" s="7" t="inlineStr">
        <is>
          <t>mg/dL</t>
        </is>
      </c>
      <c r="E39" s="7" t="inlineStr">
        <is>
          <t>fusion</t>
        </is>
      </c>
      <c r="F39" s="7" t="inlineStr">
        <is>
          <t>artifacts/experiments/gt-primary-2026-10-13-fusion/metrics.json</t>
        </is>
      </c>
      <c r="G39" s="7" t="inlineStr">
        <is>
          <t>/comparisons[comparison=serving minus persistence&amp;horizon=30]/ci95[1]</t>
        </is>
      </c>
      <c r="H39" s="7" t="inlineStr">
        <is>
          <t>2026-10-13T08:02:25+00:00</t>
        </is>
      </c>
      <c r="I39" s="7" t="inlineStr">
        <is>
          <t>ec8d2e7aedb517e73fdb75284a8dea24bdb8de4b4f98257c6186d2cea56152d9</t>
        </is>
      </c>
      <c r="J39" s="7" t="inlineStr">
        <is>
          <t>protocol configs/experiments/gt-primary-2026-10-13-fusion.yaml (first commit b60d149 2026-10-13T13:32:50+05:30)</t>
        </is>
      </c>
      <c r="K39" s="7" t="inlineStr">
        <is>
          <t>local / reproducible-only (git-ignored)</t>
        </is>
      </c>
    </row>
    <row r="40">
      <c r="A40" s="7" t="inlineStr">
        <is>
          <t>fus.cmp.sp.d60</t>
        </is>
      </c>
      <c r="B40" s="7" t="inlineStr">
        <is>
          <t>Serving test paired difference, serving minus persistence, 60 min (A minus B; negative = A lower error)</t>
        </is>
      </c>
      <c r="C40" s="8" t="n">
        <v>-2.961054278280277</v>
      </c>
      <c r="D40" s="7" t="inlineStr">
        <is>
          <t>mg/dL</t>
        </is>
      </c>
      <c r="E40" s="7" t="inlineStr">
        <is>
          <t>fusion</t>
        </is>
      </c>
      <c r="F40" s="7" t="inlineStr">
        <is>
          <t>artifacts/experiments/gt-primary-2026-10-13-fusion/metrics.json</t>
        </is>
      </c>
      <c r="G40" s="7" t="inlineStr">
        <is>
          <t>/comparisons[comparison=serving minus persistence&amp;horizon=60]/mean_diff_mae</t>
        </is>
      </c>
      <c r="H40" s="7" t="inlineStr">
        <is>
          <t>2026-10-13T08:02:25+00:00</t>
        </is>
      </c>
      <c r="I40" s="7" t="inlineStr">
        <is>
          <t>ec8d2e7aedb517e73fdb75284a8dea24bdb8de4b4f98257c6186d2cea56152d9</t>
        </is>
      </c>
      <c r="J40" s="7" t="inlineStr">
        <is>
          <t>protocol configs/experiments/gt-primary-2026-10-13-fusion.yaml (first commit b60d149 2026-10-13T13:32:50+05:30)</t>
        </is>
      </c>
      <c r="K40" s="7" t="inlineStr">
        <is>
          <t>local / reproducible-only (git-ignored)</t>
        </is>
      </c>
    </row>
    <row r="41">
      <c r="A41" s="7" t="inlineStr">
        <is>
          <t>fus.cmp.sp.lo60</t>
        </is>
      </c>
      <c r="B41" s="7" t="inlineStr">
        <is>
          <t>95 % CI lower (participant bootstrap)</t>
        </is>
      </c>
      <c r="C41" s="8" t="n">
        <v>-4.339023265541595</v>
      </c>
      <c r="D41" s="7" t="inlineStr">
        <is>
          <t>mg/dL</t>
        </is>
      </c>
      <c r="E41" s="7" t="inlineStr">
        <is>
          <t>fusion</t>
        </is>
      </c>
      <c r="F41" s="7" t="inlineStr">
        <is>
          <t>artifacts/experiments/gt-primary-2026-10-13-fusion/metrics.json</t>
        </is>
      </c>
      <c r="G41" s="7" t="inlineStr">
        <is>
          <t>/comparisons[comparison=serving minus persistence&amp;horizon=60]/ci95[0]</t>
        </is>
      </c>
      <c r="H41" s="7" t="inlineStr">
        <is>
          <t>2026-10-13T08:02:25+00:00</t>
        </is>
      </c>
      <c r="I41" s="7" t="inlineStr">
        <is>
          <t>ec8d2e7aedb517e73fdb75284a8dea24bdb8de4b4f98257c6186d2cea56152d9</t>
        </is>
      </c>
      <c r="J41" s="7" t="inlineStr">
        <is>
          <t>protocol configs/experiments/gt-primary-2026-10-13-fusion.yaml (first commit b60d149 2026-10-13T13:32:50+05:30)</t>
        </is>
      </c>
      <c r="K41" s="7" t="inlineStr">
        <is>
          <t>local / reproducible-only (git-ignored)</t>
        </is>
      </c>
    </row>
    <row r="42">
      <c r="A42" s="7" t="inlineStr">
        <is>
          <t>fus.cmp.sp.hi60</t>
        </is>
      </c>
      <c r="B42" s="7" t="inlineStr">
        <is>
          <t>95 % CI upper (participant bootstrap)</t>
        </is>
      </c>
      <c r="C42" s="8" t="n">
        <v>-1.767648377259203</v>
      </c>
      <c r="D42" s="7" t="inlineStr">
        <is>
          <t>mg/dL</t>
        </is>
      </c>
      <c r="E42" s="7" t="inlineStr">
        <is>
          <t>fusion</t>
        </is>
      </c>
      <c r="F42" s="7" t="inlineStr">
        <is>
          <t>artifacts/experiments/gt-primary-2026-10-13-fusion/metrics.json</t>
        </is>
      </c>
      <c r="G42" s="7" t="inlineStr">
        <is>
          <t>/comparisons[comparison=serving minus persistence&amp;horizon=60]/ci95[1]</t>
        </is>
      </c>
      <c r="H42" s="7" t="inlineStr">
        <is>
          <t>2026-10-13T08:02:25+00:00</t>
        </is>
      </c>
      <c r="I42" s="7" t="inlineStr">
        <is>
          <t>ec8d2e7aedb517e73fdb75284a8dea24bdb8de4b4f98257c6186d2cea56152d9</t>
        </is>
      </c>
      <c r="J42" s="7" t="inlineStr">
        <is>
          <t>protocol configs/experiments/gt-primary-2026-10-13-fusion.yaml (first commit b60d149 2026-10-13T13:32:50+05:30)</t>
        </is>
      </c>
      <c r="K42" s="7" t="inlineStr">
        <is>
          <t>local / reproducible-only (git-ignored)</t>
        </is>
      </c>
    </row>
    <row r="43">
      <c r="A43" s="7" t="inlineStr">
        <is>
          <t>fus.cmp.adapt.d30</t>
        </is>
      </c>
      <c r="B43" s="7" t="inlineStr">
        <is>
          <t>Serving test paired difference, lightgbm:dyn-prof-v2: adaptive minus population, 30 min (A minus B; negative = A lower error)</t>
        </is>
      </c>
      <c r="C43" s="8" t="n">
        <v>-0.1794720283820953</v>
      </c>
      <c r="D43" s="7" t="inlineStr">
        <is>
          <t>mg/dL</t>
        </is>
      </c>
      <c r="E43" s="7" t="inlineStr">
        <is>
          <t>fusion</t>
        </is>
      </c>
      <c r="F43" s="7" t="inlineStr">
        <is>
          <t>artifacts/experiments/gt-primary-2026-10-13-fusion/metrics.json</t>
        </is>
      </c>
      <c r="G43" s="7" t="inlineStr">
        <is>
          <t>/comparisons[comparison=lightgbm:dyn-prof-v2: adaptive minus population&amp;horizon=30]/mean_diff_mae</t>
        </is>
      </c>
      <c r="H43" s="7" t="inlineStr">
        <is>
          <t>2026-10-13T08:02:25+00:00</t>
        </is>
      </c>
      <c r="I43" s="7" t="inlineStr">
        <is>
          <t>ec8d2e7aedb517e73fdb75284a8dea24bdb8de4b4f98257c6186d2cea56152d9</t>
        </is>
      </c>
      <c r="J43" s="7" t="inlineStr">
        <is>
          <t>protocol configs/experiments/gt-primary-2026-10-13-fusion.yaml (first commit b60d149 2026-10-13T13:32:50+05:30)</t>
        </is>
      </c>
      <c r="K43" s="7" t="inlineStr">
        <is>
          <t>local / reproducible-only (git-ignored)</t>
        </is>
      </c>
    </row>
    <row r="44">
      <c r="A44" s="7" t="inlineStr">
        <is>
          <t>fus.cmp.adapt.lo30</t>
        </is>
      </c>
      <c r="B44" s="7" t="inlineStr">
        <is>
          <t>95 % CI lower (participant bootstrap)</t>
        </is>
      </c>
      <c r="C44" s="8" t="n">
        <v>-0.3537859887352592</v>
      </c>
      <c r="D44" s="7" t="inlineStr">
        <is>
          <t>mg/dL</t>
        </is>
      </c>
      <c r="E44" s="7" t="inlineStr">
        <is>
          <t>fusion</t>
        </is>
      </c>
      <c r="F44" s="7" t="inlineStr">
        <is>
          <t>artifacts/experiments/gt-primary-2026-10-13-fusion/metrics.json</t>
        </is>
      </c>
      <c r="G44" s="7" t="inlineStr">
        <is>
          <t>/comparisons[comparison=lightgbm:dyn-prof-v2: adaptive minus population&amp;horizon=30]/ci95[0]</t>
        </is>
      </c>
      <c r="H44" s="7" t="inlineStr">
        <is>
          <t>2026-10-13T08:02:25+00:00</t>
        </is>
      </c>
      <c r="I44" s="7" t="inlineStr">
        <is>
          <t>ec8d2e7aedb517e73fdb75284a8dea24bdb8de4b4f98257c6186d2cea56152d9</t>
        </is>
      </c>
      <c r="J44" s="7" t="inlineStr">
        <is>
          <t>protocol configs/experiments/gt-primary-2026-10-13-fusion.yaml (first commit b60d149 2026-10-13T13:32:50+05:30)</t>
        </is>
      </c>
      <c r="K44" s="7" t="inlineStr">
        <is>
          <t>local / reproducible-only (git-ignored)</t>
        </is>
      </c>
    </row>
    <row r="45">
      <c r="A45" s="7" t="inlineStr">
        <is>
          <t>fus.cmp.adapt.hi30</t>
        </is>
      </c>
      <c r="B45" s="7" t="inlineStr">
        <is>
          <t>95 % CI upper (participant bootstrap)</t>
        </is>
      </c>
      <c r="C45" s="8" t="n">
        <v>-0.01491995571105495</v>
      </c>
      <c r="D45" s="7" t="inlineStr">
        <is>
          <t>mg/dL</t>
        </is>
      </c>
      <c r="E45" s="7" t="inlineStr">
        <is>
          <t>fusion</t>
        </is>
      </c>
      <c r="F45" s="7" t="inlineStr">
        <is>
          <t>artifacts/experiments/gt-primary-2026-10-13-fusion/metrics.json</t>
        </is>
      </c>
      <c r="G45" s="7" t="inlineStr">
        <is>
          <t>/comparisons[comparison=lightgbm:dyn-prof-v2: adaptive minus population&amp;horizon=30]/ci95[1]</t>
        </is>
      </c>
      <c r="H45" s="7" t="inlineStr">
        <is>
          <t>2026-10-13T08:02:25+00:00</t>
        </is>
      </c>
      <c r="I45" s="7" t="inlineStr">
        <is>
          <t>ec8d2e7aedb517e73fdb75284a8dea24bdb8de4b4f98257c6186d2cea56152d9</t>
        </is>
      </c>
      <c r="J45" s="7" t="inlineStr">
        <is>
          <t>protocol configs/experiments/gt-primary-2026-10-13-fusion.yaml (first commit b60d149 2026-10-13T13:32:50+05:30)</t>
        </is>
      </c>
      <c r="K45" s="7" t="inlineStr">
        <is>
          <t>local / reproducible-only (git-ignored)</t>
        </is>
      </c>
    </row>
    <row r="46">
      <c r="A46" s="7" t="inlineStr">
        <is>
          <t>fus.cmp.adapt.d60</t>
        </is>
      </c>
      <c r="B46" s="7" t="inlineStr">
        <is>
          <t>Serving test paired difference, lightgbm:dyn-prof-v2: adaptive minus population, 60 min (A minus B; negative = A lower error)</t>
        </is>
      </c>
      <c r="C46" s="8" t="n">
        <v>-0.3266330007426906</v>
      </c>
      <c r="D46" s="7" t="inlineStr">
        <is>
          <t>mg/dL</t>
        </is>
      </c>
      <c r="E46" s="7" t="inlineStr">
        <is>
          <t>fusion</t>
        </is>
      </c>
      <c r="F46" s="7" t="inlineStr">
        <is>
          <t>artifacts/experiments/gt-primary-2026-10-13-fusion/metrics.json</t>
        </is>
      </c>
      <c r="G46" s="7" t="inlineStr">
        <is>
          <t>/comparisons[comparison=lightgbm:dyn-prof-v2: adaptive minus population&amp;horizon=60]/mean_diff_mae</t>
        </is>
      </c>
      <c r="H46" s="7" t="inlineStr">
        <is>
          <t>2026-10-13T08:02:25+00:00</t>
        </is>
      </c>
      <c r="I46" s="7" t="inlineStr">
        <is>
          <t>ec8d2e7aedb517e73fdb75284a8dea24bdb8de4b4f98257c6186d2cea56152d9</t>
        </is>
      </c>
      <c r="J46" s="7" t="inlineStr">
        <is>
          <t>protocol configs/experiments/gt-primary-2026-10-13-fusion.yaml (first commit b60d149 2026-10-13T13:32:50+05:30)</t>
        </is>
      </c>
      <c r="K46" s="7" t="inlineStr">
        <is>
          <t>local / reproducible-only (git-ignored)</t>
        </is>
      </c>
    </row>
    <row r="47">
      <c r="A47" s="7" t="inlineStr">
        <is>
          <t>fus.cmp.adapt.lo60</t>
        </is>
      </c>
      <c r="B47" s="7" t="inlineStr">
        <is>
          <t>95 % CI lower (participant bootstrap)</t>
        </is>
      </c>
      <c r="C47" s="8" t="n">
        <v>-0.6757787888893022</v>
      </c>
      <c r="D47" s="7" t="inlineStr">
        <is>
          <t>mg/dL</t>
        </is>
      </c>
      <c r="E47" s="7" t="inlineStr">
        <is>
          <t>fusion</t>
        </is>
      </c>
      <c r="F47" s="7" t="inlineStr">
        <is>
          <t>artifacts/experiments/gt-primary-2026-10-13-fusion/metrics.json</t>
        </is>
      </c>
      <c r="G47" s="7" t="inlineStr">
        <is>
          <t>/comparisons[comparison=lightgbm:dyn-prof-v2: adaptive minus population&amp;horizon=60]/ci95[0]</t>
        </is>
      </c>
      <c r="H47" s="7" t="inlineStr">
        <is>
          <t>2026-10-13T08:02:25+00:00</t>
        </is>
      </c>
      <c r="I47" s="7" t="inlineStr">
        <is>
          <t>ec8d2e7aedb517e73fdb75284a8dea24bdb8de4b4f98257c6186d2cea56152d9</t>
        </is>
      </c>
      <c r="J47" s="7" t="inlineStr">
        <is>
          <t>protocol configs/experiments/gt-primary-2026-10-13-fusion.yaml (first commit b60d149 2026-10-13T13:32:50+05:30)</t>
        </is>
      </c>
      <c r="K47" s="7" t="inlineStr">
        <is>
          <t>local / reproducible-only (git-ignored)</t>
        </is>
      </c>
    </row>
    <row r="48">
      <c r="A48" s="7" t="inlineStr">
        <is>
          <t>fus.cmp.adapt.hi60</t>
        </is>
      </c>
      <c r="B48" s="7" t="inlineStr">
        <is>
          <t>95 % CI upper (participant bootstrap)</t>
        </is>
      </c>
      <c r="C48" s="8" t="n">
        <v>0.01687115355447329</v>
      </c>
      <c r="D48" s="7" t="inlineStr">
        <is>
          <t>mg/dL</t>
        </is>
      </c>
      <c r="E48" s="7" t="inlineStr">
        <is>
          <t>fusion</t>
        </is>
      </c>
      <c r="F48" s="7" t="inlineStr">
        <is>
          <t>artifacts/experiments/gt-primary-2026-10-13-fusion/metrics.json</t>
        </is>
      </c>
      <c r="G48" s="7" t="inlineStr">
        <is>
          <t>/comparisons[comparison=lightgbm:dyn-prof-v2: adaptive minus population&amp;horizon=60]/ci95[1]</t>
        </is>
      </c>
      <c r="H48" s="7" t="inlineStr">
        <is>
          <t>2026-10-13T08:02:25+00:00</t>
        </is>
      </c>
      <c r="I48" s="7" t="inlineStr">
        <is>
          <t>ec8d2e7aedb517e73fdb75284a8dea24bdb8de4b4f98257c6186d2cea56152d9</t>
        </is>
      </c>
      <c r="J48" s="7" t="inlineStr">
        <is>
          <t>protocol configs/experiments/gt-primary-2026-10-13-fusion.yaml (first commit b60d149 2026-10-13T13:32:50+05:30)</t>
        </is>
      </c>
      <c r="K48" s="7" t="inlineStr">
        <is>
          <t>local / reproducible-only (git-ignored)</t>
        </is>
      </c>
    </row>
    <row r="49">
      <c r="A49" s="7" t="inlineStr">
        <is>
          <t>fus.cmp.lgbcb.d30</t>
        </is>
      </c>
      <c r="B49" s="7" t="inlineStr">
        <is>
          <t>Serving test paired difference, lightgbm minus catboost (dyn-prof-v2, population), 30 min (A minus B; negative = A lower error)</t>
        </is>
      </c>
      <c r="C49" s="8" t="n">
        <v>0.0225486112922409</v>
      </c>
      <c r="D49" s="7" t="inlineStr">
        <is>
          <t>mg/dL</t>
        </is>
      </c>
      <c r="E49" s="7" t="inlineStr">
        <is>
          <t>fusion</t>
        </is>
      </c>
      <c r="F49" s="7" t="inlineStr">
        <is>
          <t>artifacts/experiments/gt-primary-2026-10-13-fusion/metrics.json</t>
        </is>
      </c>
      <c r="G49" s="7" t="inlineStr">
        <is>
          <t>/comparisons[comparison=lightgbm minus catboost (dyn-prof-v2, population)&amp;horizon=30]/mean_diff_mae</t>
        </is>
      </c>
      <c r="H49" s="7" t="inlineStr">
        <is>
          <t>2026-10-13T08:02:25+00:00</t>
        </is>
      </c>
      <c r="I49" s="7" t="inlineStr">
        <is>
          <t>ec8d2e7aedb517e73fdb75284a8dea24bdb8de4b4f98257c6186d2cea56152d9</t>
        </is>
      </c>
      <c r="J49" s="7" t="inlineStr">
        <is>
          <t>protocol configs/experiments/gt-primary-2026-10-13-fusion.yaml (first commit b60d149 2026-10-13T13:32:50+05:30)</t>
        </is>
      </c>
      <c r="K49" s="7" t="inlineStr">
        <is>
          <t>local / reproducible-only (git-ignored)</t>
        </is>
      </c>
    </row>
    <row r="50">
      <c r="A50" s="7" t="inlineStr">
        <is>
          <t>fus.cmp.lgbcb.lo30</t>
        </is>
      </c>
      <c r="B50" s="7" t="inlineStr">
        <is>
          <t>95 % CI lower (participant bootstrap)</t>
        </is>
      </c>
      <c r="C50" s="8" t="n">
        <v>-0.1480682401737807</v>
      </c>
      <c r="D50" s="7" t="inlineStr">
        <is>
          <t>mg/dL</t>
        </is>
      </c>
      <c r="E50" s="7" t="inlineStr">
        <is>
          <t>fusion</t>
        </is>
      </c>
      <c r="F50" s="7" t="inlineStr">
        <is>
          <t>artifacts/experiments/gt-primary-2026-10-13-fusion/metrics.json</t>
        </is>
      </c>
      <c r="G50" s="7" t="inlineStr">
        <is>
          <t>/comparisons[comparison=lightgbm minus catboost (dyn-prof-v2, population)&amp;horizon=30]/ci95[0]</t>
        </is>
      </c>
      <c r="H50" s="7" t="inlineStr">
        <is>
          <t>2026-10-13T08:02:25+00:00</t>
        </is>
      </c>
      <c r="I50" s="7" t="inlineStr">
        <is>
          <t>ec8d2e7aedb517e73fdb75284a8dea24bdb8de4b4f98257c6186d2cea56152d9</t>
        </is>
      </c>
      <c r="J50" s="7" t="inlineStr">
        <is>
          <t>protocol configs/experiments/gt-primary-2026-10-13-fusion.yaml (first commit b60d149 2026-10-13T13:32:50+05:30)</t>
        </is>
      </c>
      <c r="K50" s="7" t="inlineStr">
        <is>
          <t>local / reproducible-only (git-ignored)</t>
        </is>
      </c>
    </row>
    <row r="51">
      <c r="A51" s="7" t="inlineStr">
        <is>
          <t>fus.cmp.lgbcb.hi30</t>
        </is>
      </c>
      <c r="B51" s="7" t="inlineStr">
        <is>
          <t>95 % CI upper (participant bootstrap)</t>
        </is>
      </c>
      <c r="C51" s="8" t="n">
        <v>0.197967075904292</v>
      </c>
      <c r="D51" s="7" t="inlineStr">
        <is>
          <t>mg/dL</t>
        </is>
      </c>
      <c r="E51" s="7" t="inlineStr">
        <is>
          <t>fusion</t>
        </is>
      </c>
      <c r="F51" s="7" t="inlineStr">
        <is>
          <t>artifacts/experiments/gt-primary-2026-10-13-fusion/metrics.json</t>
        </is>
      </c>
      <c r="G51" s="7" t="inlineStr">
        <is>
          <t>/comparisons[comparison=lightgbm minus catboost (dyn-prof-v2, population)&amp;horizon=30]/ci95[1]</t>
        </is>
      </c>
      <c r="H51" s="7" t="inlineStr">
        <is>
          <t>2026-10-13T08:02:25+00:00</t>
        </is>
      </c>
      <c r="I51" s="7" t="inlineStr">
        <is>
          <t>ec8d2e7aedb517e73fdb75284a8dea24bdb8de4b4f98257c6186d2cea56152d9</t>
        </is>
      </c>
      <c r="J51" s="7" t="inlineStr">
        <is>
          <t>protocol configs/experiments/gt-primary-2026-10-13-fusion.yaml (first commit b60d149 2026-10-13T13:32:50+05:30)</t>
        </is>
      </c>
      <c r="K51" s="7" t="inlineStr">
        <is>
          <t>local / reproducible-only (git-ignored)</t>
        </is>
      </c>
    </row>
    <row r="52">
      <c r="A52" s="7" t="inlineStr">
        <is>
          <t>fus.cmp.lgbcb.d60</t>
        </is>
      </c>
      <c r="B52" s="7" t="inlineStr">
        <is>
          <t>Serving test paired difference, lightgbm minus catboost (dyn-prof-v2, population), 60 min (A minus B; negative = A lower error)</t>
        </is>
      </c>
      <c r="C52" s="8" t="n">
        <v>0.4631492063890931</v>
      </c>
      <c r="D52" s="7" t="inlineStr">
        <is>
          <t>mg/dL</t>
        </is>
      </c>
      <c r="E52" s="7" t="inlineStr">
        <is>
          <t>fusion</t>
        </is>
      </c>
      <c r="F52" s="7" t="inlineStr">
        <is>
          <t>artifacts/experiments/gt-primary-2026-10-13-fusion/metrics.json</t>
        </is>
      </c>
      <c r="G52" s="7" t="inlineStr">
        <is>
          <t>/comparisons[comparison=lightgbm minus catboost (dyn-prof-v2, population)&amp;horizon=60]/mean_diff_mae</t>
        </is>
      </c>
      <c r="H52" s="7" t="inlineStr">
        <is>
          <t>2026-10-13T08:02:25+00:00</t>
        </is>
      </c>
      <c r="I52" s="7" t="inlineStr">
        <is>
          <t>ec8d2e7aedb517e73fdb75284a8dea24bdb8de4b4f98257c6186d2cea56152d9</t>
        </is>
      </c>
      <c r="J52" s="7" t="inlineStr">
        <is>
          <t>protocol configs/experiments/gt-primary-2026-10-13-fusion.yaml (first commit b60d149 2026-10-13T13:32:50+05:30)</t>
        </is>
      </c>
      <c r="K52" s="7" t="inlineStr">
        <is>
          <t>local / reproducible-only (git-ignored)</t>
        </is>
      </c>
    </row>
    <row r="53">
      <c r="A53" s="7" t="inlineStr">
        <is>
          <t>fus.cmp.lgbcb.lo60</t>
        </is>
      </c>
      <c r="B53" s="7" t="inlineStr">
        <is>
          <t>95 % CI lower (participant bootstrap)</t>
        </is>
      </c>
      <c r="C53" s="8" t="n">
        <v>0.04964766615286011</v>
      </c>
      <c r="D53" s="7" t="inlineStr">
        <is>
          <t>mg/dL</t>
        </is>
      </c>
      <c r="E53" s="7" t="inlineStr">
        <is>
          <t>fusion</t>
        </is>
      </c>
      <c r="F53" s="7" t="inlineStr">
        <is>
          <t>artifacts/experiments/gt-primary-2026-10-13-fusion/metrics.json</t>
        </is>
      </c>
      <c r="G53" s="7" t="inlineStr">
        <is>
          <t>/comparisons[comparison=lightgbm minus catboost (dyn-prof-v2, population)&amp;horizon=60]/ci95[0]</t>
        </is>
      </c>
      <c r="H53" s="7" t="inlineStr">
        <is>
          <t>2026-10-13T08:02:25+00:00</t>
        </is>
      </c>
      <c r="I53" s="7" t="inlineStr">
        <is>
          <t>ec8d2e7aedb517e73fdb75284a8dea24bdb8de4b4f98257c6186d2cea56152d9</t>
        </is>
      </c>
      <c r="J53" s="7" t="inlineStr">
        <is>
          <t>protocol configs/experiments/gt-primary-2026-10-13-fusion.yaml (first commit b60d149 2026-10-13T13:32:50+05:30)</t>
        </is>
      </c>
      <c r="K53" s="7" t="inlineStr">
        <is>
          <t>local / reproducible-only (git-ignored)</t>
        </is>
      </c>
    </row>
    <row r="54">
      <c r="A54" s="7" t="inlineStr">
        <is>
          <t>fus.cmp.lgbcb.hi60</t>
        </is>
      </c>
      <c r="B54" s="7" t="inlineStr">
        <is>
          <t>95 % CI upper (participant bootstrap)</t>
        </is>
      </c>
      <c r="C54" s="8" t="n">
        <v>0.9185938377321264</v>
      </c>
      <c r="D54" s="7" t="inlineStr">
        <is>
          <t>mg/dL</t>
        </is>
      </c>
      <c r="E54" s="7" t="inlineStr">
        <is>
          <t>fusion</t>
        </is>
      </c>
      <c r="F54" s="7" t="inlineStr">
        <is>
          <t>artifacts/experiments/gt-primary-2026-10-13-fusion/metrics.json</t>
        </is>
      </c>
      <c r="G54" s="7" t="inlineStr">
        <is>
          <t>/comparisons[comparison=lightgbm minus catboost (dyn-prof-v2, population)&amp;horizon=60]/ci95[1]</t>
        </is>
      </c>
      <c r="H54" s="7" t="inlineStr">
        <is>
          <t>2026-10-13T08:02:25+00:00</t>
        </is>
      </c>
      <c r="I54" s="7" t="inlineStr">
        <is>
          <t>ec8d2e7aedb517e73fdb75284a8dea24bdb8de4b4f98257c6186d2cea56152d9</t>
        </is>
      </c>
      <c r="J54" s="7" t="inlineStr">
        <is>
          <t>protocol configs/experiments/gt-primary-2026-10-13-fusion.yaml (first commit b60d149 2026-10-13T13:32:50+05:30)</t>
        </is>
      </c>
      <c r="K54" s="7" t="inlineStr">
        <is>
          <t>local / reproducible-only (git-ignored)</t>
        </is>
      </c>
    </row>
    <row r="55">
      <c r="A55" s="7" t="inlineStr">
        <is>
          <t>fus.cmp.prof.d30</t>
        </is>
      </c>
      <c r="B55" s="7" t="inlineStr">
        <is>
          <t>Serving test paired difference, lightgbm: profile minus dynamic-only (population), 30 min (A minus B; negative = A lower error)</t>
        </is>
      </c>
      <c r="C55" s="8" t="n">
        <v>-0.2475626823682144</v>
      </c>
      <c r="D55" s="7" t="inlineStr">
        <is>
          <t>mg/dL</t>
        </is>
      </c>
      <c r="E55" s="7" t="inlineStr">
        <is>
          <t>fusion</t>
        </is>
      </c>
      <c r="F55" s="7" t="inlineStr">
        <is>
          <t>artifacts/experiments/gt-primary-2026-10-13-fusion/metrics.json</t>
        </is>
      </c>
      <c r="G55" s="7" t="inlineStr">
        <is>
          <t>/comparisons[comparison=lightgbm: profile minus dynamic-only (population)&amp;horizon=30]/mean_diff_mae</t>
        </is>
      </c>
      <c r="H55" s="7" t="inlineStr">
        <is>
          <t>2026-10-13T08:02:25+00:00</t>
        </is>
      </c>
      <c r="I55" s="7" t="inlineStr">
        <is>
          <t>ec8d2e7aedb517e73fdb75284a8dea24bdb8de4b4f98257c6186d2cea56152d9</t>
        </is>
      </c>
      <c r="J55" s="7" t="inlineStr">
        <is>
          <t>protocol configs/experiments/gt-primary-2026-10-13-fusion.yaml (first commit b60d149 2026-10-13T13:32:50+05:30)</t>
        </is>
      </c>
      <c r="K55" s="7" t="inlineStr">
        <is>
          <t>local / reproducible-only (git-ignored)</t>
        </is>
      </c>
    </row>
    <row r="56">
      <c r="A56" s="7" t="inlineStr">
        <is>
          <t>fus.cmp.prof.lo30</t>
        </is>
      </c>
      <c r="B56" s="7" t="inlineStr">
        <is>
          <t>95 % CI lower (participant bootstrap)</t>
        </is>
      </c>
      <c r="C56" s="8" t="n">
        <v>-0.4299236385038383</v>
      </c>
      <c r="D56" s="7" t="inlineStr">
        <is>
          <t>mg/dL</t>
        </is>
      </c>
      <c r="E56" s="7" t="inlineStr">
        <is>
          <t>fusion</t>
        </is>
      </c>
      <c r="F56" s="7" t="inlineStr">
        <is>
          <t>artifacts/experiments/gt-primary-2026-10-13-fusion/metrics.json</t>
        </is>
      </c>
      <c r="G56" s="7" t="inlineStr">
        <is>
          <t>/comparisons[comparison=lightgbm: profile minus dynamic-only (population)&amp;horizon=30]/ci95[0]</t>
        </is>
      </c>
      <c r="H56" s="7" t="inlineStr">
        <is>
          <t>2026-10-13T08:02:25+00:00</t>
        </is>
      </c>
      <c r="I56" s="7" t="inlineStr">
        <is>
          <t>ec8d2e7aedb517e73fdb75284a8dea24bdb8de4b4f98257c6186d2cea56152d9</t>
        </is>
      </c>
      <c r="J56" s="7" t="inlineStr">
        <is>
          <t>protocol configs/experiments/gt-primary-2026-10-13-fusion.yaml (first commit b60d149 2026-10-13T13:32:50+05:30)</t>
        </is>
      </c>
      <c r="K56" s="7" t="inlineStr">
        <is>
          <t>local / reproducible-only (git-ignored)</t>
        </is>
      </c>
    </row>
    <row r="57">
      <c r="A57" s="7" t="inlineStr">
        <is>
          <t>fus.cmp.prof.hi30</t>
        </is>
      </c>
      <c r="B57" s="7" t="inlineStr">
        <is>
          <t>95 % CI upper (participant bootstrap)</t>
        </is>
      </c>
      <c r="C57" s="8" t="n">
        <v>-0.03587783638195487</v>
      </c>
      <c r="D57" s="7" t="inlineStr">
        <is>
          <t>mg/dL</t>
        </is>
      </c>
      <c r="E57" s="7" t="inlineStr">
        <is>
          <t>fusion</t>
        </is>
      </c>
      <c r="F57" s="7" t="inlineStr">
        <is>
          <t>artifacts/experiments/gt-primary-2026-10-13-fusion/metrics.json</t>
        </is>
      </c>
      <c r="G57" s="7" t="inlineStr">
        <is>
          <t>/comparisons[comparison=lightgbm: profile minus dynamic-only (population)&amp;horizon=30]/ci95[1]</t>
        </is>
      </c>
      <c r="H57" s="7" t="inlineStr">
        <is>
          <t>2026-10-13T08:02:25+00:00</t>
        </is>
      </c>
      <c r="I57" s="7" t="inlineStr">
        <is>
          <t>ec8d2e7aedb517e73fdb75284a8dea24bdb8de4b4f98257c6186d2cea56152d9</t>
        </is>
      </c>
      <c r="J57" s="7" t="inlineStr">
        <is>
          <t>protocol configs/experiments/gt-primary-2026-10-13-fusion.yaml (first commit b60d149 2026-10-13T13:32:50+05:30)</t>
        </is>
      </c>
      <c r="K57" s="7" t="inlineStr">
        <is>
          <t>local / reproducible-only (git-ignored)</t>
        </is>
      </c>
    </row>
    <row r="58">
      <c r="A58" s="7" t="inlineStr">
        <is>
          <t>fus.cmp.prof.d60</t>
        </is>
      </c>
      <c r="B58" s="7" t="inlineStr">
        <is>
          <t>Serving test paired difference, lightgbm: profile minus dynamic-only (population), 60 min (A minus B; negative = A lower error)</t>
        </is>
      </c>
      <c r="C58" s="8" t="n">
        <v>-0.6080991197140966</v>
      </c>
      <c r="D58" s="7" t="inlineStr">
        <is>
          <t>mg/dL</t>
        </is>
      </c>
      <c r="E58" s="7" t="inlineStr">
        <is>
          <t>fusion</t>
        </is>
      </c>
      <c r="F58" s="7" t="inlineStr">
        <is>
          <t>artifacts/experiments/gt-primary-2026-10-13-fusion/metrics.json</t>
        </is>
      </c>
      <c r="G58" s="7" t="inlineStr">
        <is>
          <t>/comparisons[comparison=lightgbm: profile minus dynamic-only (population)&amp;horizon=60]/mean_diff_mae</t>
        </is>
      </c>
      <c r="H58" s="7" t="inlineStr">
        <is>
          <t>2026-10-13T08:02:25+00:00</t>
        </is>
      </c>
      <c r="I58" s="7" t="inlineStr">
        <is>
          <t>ec8d2e7aedb517e73fdb75284a8dea24bdb8de4b4f98257c6186d2cea56152d9</t>
        </is>
      </c>
      <c r="J58" s="7" t="inlineStr">
        <is>
          <t>protocol configs/experiments/gt-primary-2026-10-13-fusion.yaml (first commit b60d149 2026-10-13T13:32:50+05:30)</t>
        </is>
      </c>
      <c r="K58" s="7" t="inlineStr">
        <is>
          <t>local / reproducible-only (git-ignored)</t>
        </is>
      </c>
    </row>
    <row r="59">
      <c r="A59" s="7" t="inlineStr">
        <is>
          <t>fus.cmp.prof.lo60</t>
        </is>
      </c>
      <c r="B59" s="7" t="inlineStr">
        <is>
          <t>95 % CI lower (participant bootstrap)</t>
        </is>
      </c>
      <c r="C59" s="8" t="n">
        <v>-1.148406976187606</v>
      </c>
      <c r="D59" s="7" t="inlineStr">
        <is>
          <t>mg/dL</t>
        </is>
      </c>
      <c r="E59" s="7" t="inlineStr">
        <is>
          <t>fusion</t>
        </is>
      </c>
      <c r="F59" s="7" t="inlineStr">
        <is>
          <t>artifacts/experiments/gt-primary-2026-10-13-fusion/metrics.json</t>
        </is>
      </c>
      <c r="G59" s="7" t="inlineStr">
        <is>
          <t>/comparisons[comparison=lightgbm: profile minus dynamic-only (population)&amp;horizon=60]/ci95[0]</t>
        </is>
      </c>
      <c r="H59" s="7" t="inlineStr">
        <is>
          <t>2026-10-13T08:02:25+00:00</t>
        </is>
      </c>
      <c r="I59" s="7" t="inlineStr">
        <is>
          <t>ec8d2e7aedb517e73fdb75284a8dea24bdb8de4b4f98257c6186d2cea56152d9</t>
        </is>
      </c>
      <c r="J59" s="7" t="inlineStr">
        <is>
          <t>protocol configs/experiments/gt-primary-2026-10-13-fusion.yaml (first commit b60d149 2026-10-13T13:32:50+05:30)</t>
        </is>
      </c>
      <c r="K59" s="7" t="inlineStr">
        <is>
          <t>local / reproducible-only (git-ignored)</t>
        </is>
      </c>
    </row>
    <row r="60">
      <c r="A60" s="7" t="inlineStr">
        <is>
          <t>fus.cmp.prof.hi60</t>
        </is>
      </c>
      <c r="B60" s="7" t="inlineStr">
        <is>
          <t>95 % CI upper (participant bootstrap)</t>
        </is>
      </c>
      <c r="C60" s="8" t="n">
        <v>-0.09115156446627275</v>
      </c>
      <c r="D60" s="7" t="inlineStr">
        <is>
          <t>mg/dL</t>
        </is>
      </c>
      <c r="E60" s="7" t="inlineStr">
        <is>
          <t>fusion</t>
        </is>
      </c>
      <c r="F60" s="7" t="inlineStr">
        <is>
          <t>artifacts/experiments/gt-primary-2026-10-13-fusion/metrics.json</t>
        </is>
      </c>
      <c r="G60" s="7" t="inlineStr">
        <is>
          <t>/comparisons[comparison=lightgbm: profile minus dynamic-only (population)&amp;horizon=60]/ci95[1]</t>
        </is>
      </c>
      <c r="H60" s="7" t="inlineStr">
        <is>
          <t>2026-10-13T08:02:25+00:00</t>
        </is>
      </c>
      <c r="I60" s="7" t="inlineStr">
        <is>
          <t>ec8d2e7aedb517e73fdb75284a8dea24bdb8de4b4f98257c6186d2cea56152d9</t>
        </is>
      </c>
      <c r="J60" s="7" t="inlineStr">
        <is>
          <t>protocol configs/experiments/gt-primary-2026-10-13-fusion.yaml (first commit b60d149 2026-10-13T13:32:50+05:30)</t>
        </is>
      </c>
      <c r="K60" s="7" t="inlineStr">
        <is>
          <t>local / reproducible-only (git-ignored)</t>
        </is>
      </c>
    </row>
    <row r="61">
      <c r="A61" s="7" t="inlineStr">
        <is>
          <t>fus.ev.true_onsets</t>
        </is>
      </c>
      <c r="B61" s="7" t="inlineStr">
        <is>
          <t>Serving 60-min warning, final test: new sustained &gt;180 onsets (eligible)</t>
        </is>
      </c>
      <c r="C61" s="7" t="n">
        <v>64</v>
      </c>
      <c r="D61" s="7" t="inlineStr">
        <is>
          <t>onsets</t>
        </is>
      </c>
      <c r="E61" s="7" t="inlineStr">
        <is>
          <t>fusion</t>
        </is>
      </c>
      <c r="F61" s="7" t="inlineStr">
        <is>
          <t>artifacts/experiments/gt-primary-2026-10-13-fusion/metrics.json</t>
        </is>
      </c>
      <c r="G61" s="7" t="inlineStr">
        <is>
          <t>/events[model=lightgbm:dyn-prof-v2 (adaptive)&amp;split=test&amp;horizon=60]/true_onsets</t>
        </is>
      </c>
      <c r="H61" s="7" t="inlineStr">
        <is>
          <t>2026-10-13T08:02:25+00:00</t>
        </is>
      </c>
      <c r="I61" s="7" t="inlineStr">
        <is>
          <t>ec8d2e7aedb517e73fdb75284a8dea24bdb8de4b4f98257c6186d2cea56152d9</t>
        </is>
      </c>
      <c r="J61" s="7" t="inlineStr">
        <is>
          <t>protocol configs/experiments/gt-primary-2026-10-13-fusion.yaml (first commit b60d149 2026-10-13T13:32:50+05:30)</t>
        </is>
      </c>
      <c r="K61" s="7" t="inlineStr">
        <is>
          <t>local / reproducible-only (git-ignored)</t>
        </is>
      </c>
    </row>
    <row r="62">
      <c r="A62" s="7" t="inlineStr">
        <is>
          <t>fus.ev.detected_onsets</t>
        </is>
      </c>
      <c r="B62" s="7" t="inlineStr">
        <is>
          <t>Serving 60-min warning, final test: onsets matched to a warning</t>
        </is>
      </c>
      <c r="C62" s="7" t="n">
        <v>61</v>
      </c>
      <c r="D62" s="7" t="inlineStr">
        <is>
          <t>onsets</t>
        </is>
      </c>
      <c r="E62" s="7" t="inlineStr">
        <is>
          <t>fusion</t>
        </is>
      </c>
      <c r="F62" s="7" t="inlineStr">
        <is>
          <t>artifacts/experiments/gt-primary-2026-10-13-fusion/metrics.json</t>
        </is>
      </c>
      <c r="G62" s="7" t="inlineStr">
        <is>
          <t>/events[model=lightgbm:dyn-prof-v2 (adaptive)&amp;split=test&amp;horizon=60]/detected_onsets</t>
        </is>
      </c>
      <c r="H62" s="7" t="inlineStr">
        <is>
          <t>2026-10-13T08:02:25+00:00</t>
        </is>
      </c>
      <c r="I62" s="7" t="inlineStr">
        <is>
          <t>ec8d2e7aedb517e73fdb75284a8dea24bdb8de4b4f98257c6186d2cea56152d9</t>
        </is>
      </c>
      <c r="J62" s="7" t="inlineStr">
        <is>
          <t>protocol configs/experiments/gt-primary-2026-10-13-fusion.yaml (first commit b60d149 2026-10-13T13:32:50+05:30)</t>
        </is>
      </c>
      <c r="K62" s="7" t="inlineStr">
        <is>
          <t>local / reproducible-only (git-ignored)</t>
        </is>
      </c>
    </row>
    <row r="63">
      <c r="A63" s="7" t="inlineStr">
        <is>
          <t>fus.ev.warning_episodes</t>
        </is>
      </c>
      <c r="B63" s="7" t="inlineStr">
        <is>
          <t>Serving 60-min warning, final test: warning episodes</t>
        </is>
      </c>
      <c r="C63" s="7" t="n">
        <v>101</v>
      </c>
      <c r="D63" s="7" t="inlineStr">
        <is>
          <t>episodes</t>
        </is>
      </c>
      <c r="E63" s="7" t="inlineStr">
        <is>
          <t>fusion</t>
        </is>
      </c>
      <c r="F63" s="7" t="inlineStr">
        <is>
          <t>artifacts/experiments/gt-primary-2026-10-13-fusion/metrics.json</t>
        </is>
      </c>
      <c r="G63" s="7" t="inlineStr">
        <is>
          <t>/events[model=lightgbm:dyn-prof-v2 (adaptive)&amp;split=test&amp;horizon=60]/warning_episodes</t>
        </is>
      </c>
      <c r="H63" s="7" t="inlineStr">
        <is>
          <t>2026-10-13T08:02:25+00:00</t>
        </is>
      </c>
      <c r="I63" s="7" t="inlineStr">
        <is>
          <t>ec8d2e7aedb517e73fdb75284a8dea24bdb8de4b4f98257c6186d2cea56152d9</t>
        </is>
      </c>
      <c r="J63" s="7" t="inlineStr">
        <is>
          <t>protocol configs/experiments/gt-primary-2026-10-13-fusion.yaml (first commit b60d149 2026-10-13T13:32:50+05:30)</t>
        </is>
      </c>
      <c r="K63" s="7" t="inlineStr">
        <is>
          <t>local / reproducible-only (git-ignored)</t>
        </is>
      </c>
    </row>
    <row r="64">
      <c r="A64" s="7" t="inlineStr">
        <is>
          <t>fus.ev.false_alarm_episodes</t>
        </is>
      </c>
      <c r="B64" s="7" t="inlineStr">
        <is>
          <t>Serving 60-min warning, final test: false-alarm episodes</t>
        </is>
      </c>
      <c r="C64" s="7" t="n">
        <v>40</v>
      </c>
      <c r="D64" s="7" t="inlineStr">
        <is>
          <t>episodes</t>
        </is>
      </c>
      <c r="E64" s="7" t="inlineStr">
        <is>
          <t>fusion</t>
        </is>
      </c>
      <c r="F64" s="7" t="inlineStr">
        <is>
          <t>artifacts/experiments/gt-primary-2026-10-13-fusion/metrics.json</t>
        </is>
      </c>
      <c r="G64" s="7" t="inlineStr">
        <is>
          <t>/events[model=lightgbm:dyn-prof-v2 (adaptive)&amp;split=test&amp;horizon=60]/false_alarm_episodes</t>
        </is>
      </c>
      <c r="H64" s="7" t="inlineStr">
        <is>
          <t>2026-10-13T08:02:25+00:00</t>
        </is>
      </c>
      <c r="I64" s="7" t="inlineStr">
        <is>
          <t>ec8d2e7aedb517e73fdb75284a8dea24bdb8de4b4f98257c6186d2cea56152d9</t>
        </is>
      </c>
      <c r="J64" s="7" t="inlineStr">
        <is>
          <t>protocol configs/experiments/gt-primary-2026-10-13-fusion.yaml (first commit b60d149 2026-10-13T13:32:50+05:30)</t>
        </is>
      </c>
      <c r="K64" s="7" t="inlineStr">
        <is>
          <t>local / reproducible-only (git-ignored)</t>
        </is>
      </c>
    </row>
    <row r="65">
      <c r="A65" s="7" t="inlineStr">
        <is>
          <t>fus.ev.precision</t>
        </is>
      </c>
      <c r="B65" s="7" t="inlineStr">
        <is>
          <t>Serving 60-min warning, final test: episode precision</t>
        </is>
      </c>
      <c r="C65" s="8" t="n">
        <v>0.6039603960396039</v>
      </c>
      <c r="D65" s="7" t="inlineStr">
        <is>
          <t>ratio</t>
        </is>
      </c>
      <c r="E65" s="7" t="inlineStr">
        <is>
          <t>fusion</t>
        </is>
      </c>
      <c r="F65" s="7" t="inlineStr">
        <is>
          <t>artifacts/experiments/gt-primary-2026-10-13-fusion/metrics.json</t>
        </is>
      </c>
      <c r="G65" s="7" t="inlineStr">
        <is>
          <t>/events[model=lightgbm:dyn-prof-v2 (adaptive)&amp;split=test&amp;horizon=60]/precision</t>
        </is>
      </c>
      <c r="H65" s="7" t="inlineStr">
        <is>
          <t>2026-10-13T08:02:25+00:00</t>
        </is>
      </c>
      <c r="I65" s="7" t="inlineStr">
        <is>
          <t>ec8d2e7aedb517e73fdb75284a8dea24bdb8de4b4f98257c6186d2cea56152d9</t>
        </is>
      </c>
      <c r="J65" s="7" t="inlineStr">
        <is>
          <t>protocol configs/experiments/gt-primary-2026-10-13-fusion.yaml (first commit b60d149 2026-10-13T13:32:50+05:30)</t>
        </is>
      </c>
      <c r="K65" s="7" t="inlineStr">
        <is>
          <t>local / reproducible-only (git-ignored)</t>
        </is>
      </c>
    </row>
    <row r="66">
      <c r="A66" s="7" t="inlineStr">
        <is>
          <t>fus.ev.false_alarms_per_observed_patient_day</t>
        </is>
      </c>
      <c r="B66" s="7" t="inlineStr">
        <is>
          <t>Serving 60-min warning, final test: saved false-alarm rate</t>
        </is>
      </c>
      <c r="C66" s="8" t="n">
        <v>1.492227979274611</v>
      </c>
      <c r="D66" s="7" t="inlineStr">
        <is>
          <t>per observed patient-day</t>
        </is>
      </c>
      <c r="E66" s="7" t="inlineStr">
        <is>
          <t>fusion</t>
        </is>
      </c>
      <c r="F66" s="7" t="inlineStr">
        <is>
          <t>artifacts/experiments/gt-primary-2026-10-13-fusion/metrics.json</t>
        </is>
      </c>
      <c r="G66" s="7" t="inlineStr">
        <is>
          <t>/events[model=lightgbm:dyn-prof-v2 (adaptive)&amp;split=test&amp;horizon=60]/false_alarms_per_observed_patient_day</t>
        </is>
      </c>
      <c r="H66" s="7" t="inlineStr">
        <is>
          <t>2026-10-13T08:02:25+00:00</t>
        </is>
      </c>
      <c r="I66" s="7" t="inlineStr">
        <is>
          <t>ec8d2e7aedb517e73fdb75284a8dea24bdb8de4b4f98257c6186d2cea56152d9</t>
        </is>
      </c>
      <c r="J66" s="7" t="inlineStr">
        <is>
          <t>protocol configs/experiments/gt-primary-2026-10-13-fusion.yaml (first commit b60d149 2026-10-13T13:32:50+05:30)</t>
        </is>
      </c>
      <c r="K66" s="7" t="inlineStr">
        <is>
          <t>local / reproducible-only (git-ignored)</t>
        </is>
      </c>
    </row>
    <row r="67">
      <c r="A67" s="7" t="inlineStr">
        <is>
          <t>fus.ev.observed_patient_days</t>
        </is>
      </c>
      <c r="B67" s="7" t="inlineStr">
        <is>
          <t>Serving 60-min warning, final test: observed patient-day denominator (saved event metadata)</t>
        </is>
      </c>
      <c r="C67" s="8" t="n">
        <v>26.80555555555556</v>
      </c>
      <c r="D67" s="7" t="inlineStr">
        <is>
          <t>patient-days</t>
        </is>
      </c>
      <c r="E67" s="7" t="inlineStr">
        <is>
          <t>fusion</t>
        </is>
      </c>
      <c r="F67" s="7" t="inlineStr">
        <is>
          <t>artifacts/experiments/gt-primary-2026-10-13-fusion/metrics.json</t>
        </is>
      </c>
      <c r="G67" s="7" t="inlineStr">
        <is>
          <t>/events[model=lightgbm:dyn-prof-v2 (adaptive)&amp;split=test&amp;horizon=60]/observed_patient_days</t>
        </is>
      </c>
      <c r="H67" s="7" t="inlineStr">
        <is>
          <t>2026-10-13T08:02:25+00:00</t>
        </is>
      </c>
      <c r="I67" s="7" t="inlineStr">
        <is>
          <t>ec8d2e7aedb517e73fdb75284a8dea24bdb8de4b4f98257c6186d2cea56152d9</t>
        </is>
      </c>
      <c r="J67" s="7" t="inlineStr">
        <is>
          <t>protocol configs/experiments/gt-primary-2026-10-13-fusion.yaml (first commit b60d149 2026-10-13T13:32:50+05:30)</t>
        </is>
      </c>
      <c r="K67" s="7" t="inlineStr">
        <is>
          <t>local / reproducible-only (git-ignored)</t>
        </is>
      </c>
    </row>
    <row r="68">
      <c r="A68" s="7" t="inlineStr">
        <is>
          <t>fus.ev.eligible_patient_days</t>
        </is>
      </c>
      <c r="B68" s="7" t="inlineStr">
        <is>
          <t>Serving 60-min warning, final test: eligible patient-day denominator (saved event metadata)</t>
        </is>
      </c>
      <c r="C68" s="8" t="n">
        <v>17.50694444444444</v>
      </c>
      <c r="D68" s="7" t="inlineStr">
        <is>
          <t>patient-days</t>
        </is>
      </c>
      <c r="E68" s="7" t="inlineStr">
        <is>
          <t>fusion</t>
        </is>
      </c>
      <c r="F68" s="7" t="inlineStr">
        <is>
          <t>artifacts/experiments/gt-primary-2026-10-13-fusion/metrics.json</t>
        </is>
      </c>
      <c r="G68" s="7" t="inlineStr">
        <is>
          <t>/events[model=lightgbm:dyn-prof-v2 (adaptive)&amp;split=test&amp;horizon=60]/eligible_patient_days</t>
        </is>
      </c>
      <c r="H68" s="7" t="inlineStr">
        <is>
          <t>2026-10-13T08:02:25+00:00</t>
        </is>
      </c>
      <c r="I68" s="7" t="inlineStr">
        <is>
          <t>ec8d2e7aedb517e73fdb75284a8dea24bdb8de4b4f98257c6186d2cea56152d9</t>
        </is>
      </c>
      <c r="J68" s="7" t="inlineStr">
        <is>
          <t>protocol configs/experiments/gt-primary-2026-10-13-fusion.yaml (first commit b60d149 2026-10-13T13:32:50+05:30)</t>
        </is>
      </c>
      <c r="K68" s="7" t="inlineStr">
        <is>
          <t>local / reproducible-only (git-ignored)</t>
        </is>
      </c>
    </row>
    <row r="69">
      <c r="A69" s="7" t="inlineStr">
        <is>
          <t>fus.ev.false_alarms_per_patient_day</t>
        </is>
      </c>
      <c r="B69" s="7" t="inlineStr">
        <is>
          <t>Serving 60-min warning, final test: saved false alarms per eligible patient-day</t>
        </is>
      </c>
      <c r="C69" s="8" t="n">
        <v>2.284807616025387</v>
      </c>
      <c r="D69" s="7" t="inlineStr">
        <is>
          <t>per eligible patient-day</t>
        </is>
      </c>
      <c r="E69" s="7" t="inlineStr">
        <is>
          <t>fusion</t>
        </is>
      </c>
      <c r="F69" s="7" t="inlineStr">
        <is>
          <t>artifacts/experiments/gt-primary-2026-10-13-fusion/metrics.json</t>
        </is>
      </c>
      <c r="G69" s="7" t="inlineStr">
        <is>
          <t>/events[model=lightgbm:dyn-prof-v2 (adaptive)&amp;split=test&amp;horizon=60]/false_alarms_per_patient_day</t>
        </is>
      </c>
      <c r="H69" s="7" t="inlineStr">
        <is>
          <t>2026-10-13T08:02:25+00:00</t>
        </is>
      </c>
      <c r="I69" s="7" t="inlineStr">
        <is>
          <t>ec8d2e7aedb517e73fdb75284a8dea24bdb8de4b4f98257c6186d2cea56152d9</t>
        </is>
      </c>
      <c r="J69" s="7" t="inlineStr">
        <is>
          <t>protocol configs/experiments/gt-primary-2026-10-13-fusion.yaml (first commit b60d149 2026-10-13T13:32:50+05:30)</t>
        </is>
      </c>
      <c r="K69" s="7" t="inlineStr">
        <is>
          <t>local / reproducible-only (git-ignored)</t>
        </is>
      </c>
    </row>
    <row r="70">
      <c r="A70" s="7" t="inlineStr">
        <is>
          <t>fus.ev.qualified_lead_median</t>
        </is>
      </c>
      <c r="B70" s="7" t="inlineStr">
        <is>
          <t>Serving 60-min warning, final test: median qualified lead among detected onsets</t>
        </is>
      </c>
      <c r="C70" s="8" t="n">
        <v>30</v>
      </c>
      <c r="D70" s="7" t="inlineStr">
        <is>
          <t>min</t>
        </is>
      </c>
      <c r="E70" s="7" t="inlineStr">
        <is>
          <t>fusion</t>
        </is>
      </c>
      <c r="F70" s="7" t="inlineStr">
        <is>
          <t>artifacts/experiments/gt-primary-2026-10-13-fusion/metrics.json</t>
        </is>
      </c>
      <c r="G70" s="7" t="inlineStr">
        <is>
          <t>/events[model=lightgbm:dyn-prof-v2 (adaptive)&amp;split=test&amp;horizon=60]/qualified_lead_median</t>
        </is>
      </c>
      <c r="H70" s="7" t="inlineStr">
        <is>
          <t>2026-10-13T08:02:25+00:00</t>
        </is>
      </c>
      <c r="I70" s="7" t="inlineStr">
        <is>
          <t>ec8d2e7aedb517e73fdb75284a8dea24bdb8de4b4f98257c6186d2cea56152d9</t>
        </is>
      </c>
      <c r="J70" s="7" t="inlineStr">
        <is>
          <t>protocol configs/experiments/gt-primary-2026-10-13-fusion.yaml (first commit b60d149 2026-10-13T13:32:50+05:30)</t>
        </is>
      </c>
      <c r="K70" s="7" t="inlineStr">
        <is>
          <t>local / reproducible-only (git-ignored)</t>
        </is>
      </c>
    </row>
    <row r="71">
      <c r="A71" s="7" t="inlineStr">
        <is>
          <t>fus.ev.qualified_lead_n</t>
        </is>
      </c>
      <c r="B71" s="7" t="inlineStr">
        <is>
          <t>Serving 60-min warning, final test: onsets with a qualified lead (denominator of the median)</t>
        </is>
      </c>
      <c r="C71" s="7" t="n">
        <v>61</v>
      </c>
      <c r="D71" s="7" t="inlineStr">
        <is>
          <t>onsets</t>
        </is>
      </c>
      <c r="E71" s="7" t="inlineStr">
        <is>
          <t>fusion</t>
        </is>
      </c>
      <c r="F71" s="7" t="inlineStr">
        <is>
          <t>artifacts/experiments/gt-primary-2026-10-13-fusion/metrics.json</t>
        </is>
      </c>
      <c r="G71" s="7" t="inlineStr">
        <is>
          <t>/events[model=lightgbm:dyn-prof-v2 (adaptive)&amp;split=test&amp;horizon=60]/qualified_lead_n</t>
        </is>
      </c>
      <c r="H71" s="7" t="inlineStr">
        <is>
          <t>2026-10-13T08:02:25+00:00</t>
        </is>
      </c>
      <c r="I71" s="7" t="inlineStr">
        <is>
          <t>ec8d2e7aedb517e73fdb75284a8dea24bdb8de4b4f98257c6186d2cea56152d9</t>
        </is>
      </c>
      <c r="J71" s="7" t="inlineStr">
        <is>
          <t>protocol configs/experiments/gt-primary-2026-10-13-fusion.yaml (first commit b60d149 2026-10-13T13:32:50+05:30)</t>
        </is>
      </c>
      <c r="K71" s="7" t="inlineStr">
        <is>
          <t>local / reproducible-only (git-ignored)</t>
        </is>
      </c>
    </row>
    <row r="72">
      <c r="A72" s="7" t="inlineStr">
        <is>
          <t>fus.ev.threshold</t>
        </is>
      </c>
      <c r="B72" s="7" t="inlineStr">
        <is>
          <t>Serving 60-min warning, final test: warning margin (score = max forecast − 180)</t>
        </is>
      </c>
      <c r="C72" s="8" t="n">
        <v>-10</v>
      </c>
      <c r="D72" s="7" t="inlineStr">
        <is>
          <t>mg/dL</t>
        </is>
      </c>
      <c r="E72" s="7" t="inlineStr">
        <is>
          <t>fusion</t>
        </is>
      </c>
      <c r="F72" s="7" t="inlineStr">
        <is>
          <t>artifacts/experiments/gt-primary-2026-10-13-fusion/metrics.json</t>
        </is>
      </c>
      <c r="G72" s="7" t="inlineStr">
        <is>
          <t>/events[model=lightgbm:dyn-prof-v2 (adaptive)&amp;split=test&amp;horizon=60]/threshold</t>
        </is>
      </c>
      <c r="H72" s="7" t="inlineStr">
        <is>
          <t>2026-10-13T08:02:25+00:00</t>
        </is>
      </c>
      <c r="I72" s="7" t="inlineStr">
        <is>
          <t>ec8d2e7aedb517e73fdb75284a8dea24bdb8de4b4f98257c6186d2cea56152d9</t>
        </is>
      </c>
      <c r="J72" s="7" t="inlineStr">
        <is>
          <t>protocol configs/experiments/gt-primary-2026-10-13-fusion.yaml (first commit b60d149 2026-10-13T13:32:50+05:30)</t>
        </is>
      </c>
      <c r="K72" s="7" t="inlineStr">
        <is>
          <t>local / reproducible-only (git-ignored)</t>
        </is>
      </c>
    </row>
    <row r="73">
      <c r="A73" s="7" t="inlineStr">
        <is>
          <t>fus.ev.time_base</t>
        </is>
      </c>
      <c r="B73" s="7" t="inlineStr">
        <is>
          <t>Serving 60-min warning, final test: time-base definition of the day denominators</t>
        </is>
      </c>
      <c r="C73" s="7" t="inlineStr">
        <is>
          <t>approximate: number of forecast-issued origins x 5-minute native cadence</t>
        </is>
      </c>
      <c r="D73" s="7" t="inlineStr">
        <is>
          <t>text</t>
        </is>
      </c>
      <c r="E73" s="7" t="inlineStr">
        <is>
          <t>fusion</t>
        </is>
      </c>
      <c r="F73" s="7" t="inlineStr">
        <is>
          <t>artifacts/experiments/gt-primary-2026-10-13-fusion/metrics.json</t>
        </is>
      </c>
      <c r="G73" s="7" t="inlineStr">
        <is>
          <t>/events[model=lightgbm:dyn-prof-v2 (adaptive)&amp;split=test&amp;horizon=60]/time_base</t>
        </is>
      </c>
      <c r="H73" s="7" t="inlineStr">
        <is>
          <t>2026-10-13T08:02:25+00:00</t>
        </is>
      </c>
      <c r="I73" s="7" t="inlineStr">
        <is>
          <t>ec8d2e7aedb517e73fdb75284a8dea24bdb8de4b4f98257c6186d2cea56152d9</t>
        </is>
      </c>
      <c r="J73" s="7" t="inlineStr">
        <is>
          <t>protocol configs/experiments/gt-primary-2026-10-13-fusion.yaml (first commit b60d149 2026-10-13T13:32:50+05:30)</t>
        </is>
      </c>
      <c r="K73" s="7" t="inlineStr">
        <is>
          <t>local / reproducible-only (git-ignored)</t>
        </is>
      </c>
    </row>
    <row r="74">
      <c r="A74" s="7" t="inlineStr">
        <is>
          <t>fus.ev.iqr_lo</t>
        </is>
      </c>
      <c r="B74" s="7" t="inlineStr">
        <is>
          <t>Qualified lead IQR lower (detected onsets)</t>
        </is>
      </c>
      <c r="C74" s="8" t="n">
        <v>10</v>
      </c>
      <c r="D74" s="7" t="inlineStr">
        <is>
          <t>min</t>
        </is>
      </c>
      <c r="E74" s="7" t="inlineStr">
        <is>
          <t>fusion</t>
        </is>
      </c>
      <c r="F74" s="7" t="inlineStr">
        <is>
          <t>artifacts/experiments/gt-primary-2026-10-13-fusion/metrics.json</t>
        </is>
      </c>
      <c r="G74" s="7" t="inlineStr">
        <is>
          <t>/events[model=lightgbm:dyn-prof-v2 (adaptive)&amp;split=test&amp;horizon=60]/qualified_lead_iqr[0]</t>
        </is>
      </c>
      <c r="H74" s="7" t="inlineStr">
        <is>
          <t>2026-10-13T08:02:25+00:00</t>
        </is>
      </c>
      <c r="I74" s="7" t="inlineStr">
        <is>
          <t>ec8d2e7aedb517e73fdb75284a8dea24bdb8de4b4f98257c6186d2cea56152d9</t>
        </is>
      </c>
      <c r="J74" s="7" t="inlineStr">
        <is>
          <t>protocol configs/experiments/gt-primary-2026-10-13-fusion.yaml (first commit b60d149 2026-10-13T13:32:50+05:30)</t>
        </is>
      </c>
      <c r="K74" s="7" t="inlineStr">
        <is>
          <t>local / reproducible-only (git-ignored)</t>
        </is>
      </c>
    </row>
    <row r="75">
      <c r="A75" s="7" t="inlineStr">
        <is>
          <t>fus.ev.iqr_hi</t>
        </is>
      </c>
      <c r="B75" s="7" t="inlineStr">
        <is>
          <t>Qualified lead IQR upper (detected onsets)</t>
        </is>
      </c>
      <c r="C75" s="8" t="n">
        <v>55</v>
      </c>
      <c r="D75" s="7" t="inlineStr">
        <is>
          <t>min</t>
        </is>
      </c>
      <c r="E75" s="7" t="inlineStr">
        <is>
          <t>fusion</t>
        </is>
      </c>
      <c r="F75" s="7" t="inlineStr">
        <is>
          <t>artifacts/experiments/gt-primary-2026-10-13-fusion/metrics.json</t>
        </is>
      </c>
      <c r="G75" s="7" t="inlineStr">
        <is>
          <t>/events[model=lightgbm:dyn-prof-v2 (adaptive)&amp;split=test&amp;horizon=60]/qualified_lead_iqr[1]</t>
        </is>
      </c>
      <c r="H75" s="7" t="inlineStr">
        <is>
          <t>2026-10-13T08:02:25+00:00</t>
        </is>
      </c>
      <c r="I75" s="7" t="inlineStr">
        <is>
          <t>ec8d2e7aedb517e73fdb75284a8dea24bdb8de4b4f98257c6186d2cea56152d9</t>
        </is>
      </c>
      <c r="J75" s="7" t="inlineStr">
        <is>
          <t>protocol configs/experiments/gt-primary-2026-10-13-fusion.yaml (first commit b60d149 2026-10-13T13:32:50+05:30)</t>
        </is>
      </c>
      <c r="K75" s="7" t="inlineStr">
        <is>
          <t>local / reproducible-only (git-ignored)</t>
        </is>
      </c>
    </row>
    <row r="76">
      <c r="A76" s="7" t="inlineStr">
        <is>
          <t>fus.pev.detected_onsets</t>
        </is>
      </c>
      <c r="B76" s="7" t="inlineStr">
        <is>
          <t>Persistence 60-min warning (fires at 150 mg/dL), final test: detected_onsets</t>
        </is>
      </c>
      <c r="C76" s="7" t="n">
        <v>63</v>
      </c>
      <c r="D76" s="7" t="inlineStr">
        <is>
          <t>count</t>
        </is>
      </c>
      <c r="E76" s="7" t="inlineStr">
        <is>
          <t>fusion</t>
        </is>
      </c>
      <c r="F76" s="7" t="inlineStr">
        <is>
          <t>artifacts/experiments/gt-primary-2026-10-13-fusion/metrics.json</t>
        </is>
      </c>
      <c r="G76" s="7" t="inlineStr">
        <is>
          <t>/events[model=persistence&amp;split=test&amp;horizon=60]/detected_onsets</t>
        </is>
      </c>
      <c r="H76" s="7" t="inlineStr">
        <is>
          <t>2026-10-13T08:02:25+00:00</t>
        </is>
      </c>
      <c r="I76" s="7" t="inlineStr">
        <is>
          <t>ec8d2e7aedb517e73fdb75284a8dea24bdb8de4b4f98257c6186d2cea56152d9</t>
        </is>
      </c>
      <c r="J76" s="7" t="inlineStr">
        <is>
          <t>protocol configs/experiments/gt-primary-2026-10-13-fusion.yaml (first commit b60d149 2026-10-13T13:32:50+05:30)</t>
        </is>
      </c>
      <c r="K76" s="7" t="inlineStr">
        <is>
          <t>local / reproducible-only (git-ignored)</t>
        </is>
      </c>
    </row>
    <row r="77">
      <c r="A77" s="7" t="inlineStr">
        <is>
          <t>fus.pev.false_alarm_episodes</t>
        </is>
      </c>
      <c r="B77" s="7" t="inlineStr">
        <is>
          <t>Persistence 60-min warning (fires at 150 mg/dL), final test: false_alarm_episodes</t>
        </is>
      </c>
      <c r="C77" s="7" t="n">
        <v>70</v>
      </c>
      <c r="D77" s="7" t="inlineStr">
        <is>
          <t>count</t>
        </is>
      </c>
      <c r="E77" s="7" t="inlineStr">
        <is>
          <t>fusion</t>
        </is>
      </c>
      <c r="F77" s="7" t="inlineStr">
        <is>
          <t>artifacts/experiments/gt-primary-2026-10-13-fusion/metrics.json</t>
        </is>
      </c>
      <c r="G77" s="7" t="inlineStr">
        <is>
          <t>/events[model=persistence&amp;split=test&amp;horizon=60]/false_alarm_episodes</t>
        </is>
      </c>
      <c r="H77" s="7" t="inlineStr">
        <is>
          <t>2026-10-13T08:02:25+00:00</t>
        </is>
      </c>
      <c r="I77" s="7" t="inlineStr">
        <is>
          <t>ec8d2e7aedb517e73fdb75284a8dea24bdb8de4b4f98257c6186d2cea56152d9</t>
        </is>
      </c>
      <c r="J77" s="7" t="inlineStr">
        <is>
          <t>protocol configs/experiments/gt-primary-2026-10-13-fusion.yaml (first commit b60d149 2026-10-13T13:32:50+05:30)</t>
        </is>
      </c>
      <c r="K77" s="7" t="inlineStr">
        <is>
          <t>local / reproducible-only (git-ignored)</t>
        </is>
      </c>
    </row>
    <row r="78">
      <c r="A78" s="7" t="inlineStr">
        <is>
          <t>fus.pev.false_alarms_per_observed_patient_day</t>
        </is>
      </c>
      <c r="B78" s="7" t="inlineStr">
        <is>
          <t>Persistence 60-min warning (fires at 150 mg/dL), final test: false_alarms_per_observed_patient_day</t>
        </is>
      </c>
      <c r="C78" s="8" t="n">
        <v>2.61139896373057</v>
      </c>
      <c r="D78" s="7" t="inlineStr">
        <is>
          <t>count</t>
        </is>
      </c>
      <c r="E78" s="7" t="inlineStr">
        <is>
          <t>fusion</t>
        </is>
      </c>
      <c r="F78" s="7" t="inlineStr">
        <is>
          <t>artifacts/experiments/gt-primary-2026-10-13-fusion/metrics.json</t>
        </is>
      </c>
      <c r="G78" s="7" t="inlineStr">
        <is>
          <t>/events[model=persistence&amp;split=test&amp;horizon=60]/false_alarms_per_observed_patient_day</t>
        </is>
      </c>
      <c r="H78" s="7" t="inlineStr">
        <is>
          <t>2026-10-13T08:02:25+00:00</t>
        </is>
      </c>
      <c r="I78" s="7" t="inlineStr">
        <is>
          <t>ec8d2e7aedb517e73fdb75284a8dea24bdb8de4b4f98257c6186d2cea56152d9</t>
        </is>
      </c>
      <c r="J78" s="7" t="inlineStr">
        <is>
          <t>protocol configs/experiments/gt-primary-2026-10-13-fusion.yaml (first commit b60d149 2026-10-13T13:32:50+05:30)</t>
        </is>
      </c>
      <c r="K78" s="7" t="inlineStr">
        <is>
          <t>local / reproducible-only (git-ignored)</t>
        </is>
      </c>
    </row>
    <row r="79">
      <c r="A79" s="7" t="inlineStr">
        <is>
          <t>fus.iv.coverage30</t>
        </is>
      </c>
      <c r="B79" s="7" t="inlineStr">
        <is>
          <t>Served 80 % range, final test, 30 min: coverage</t>
        </is>
      </c>
      <c r="C79" s="8" t="n">
        <v>0.7420444213534225</v>
      </c>
      <c r="D79" s="7" t="inlineStr">
        <is>
          <t>share</t>
        </is>
      </c>
      <c r="E79" s="7" t="inlineStr">
        <is>
          <t>fusion</t>
        </is>
      </c>
      <c r="F79" s="7" t="inlineStr">
        <is>
          <t>artifacts/experiments/gt-primary-2026-10-13-fusion/metrics.json</t>
        </is>
      </c>
      <c r="G79" s="7" t="inlineStr">
        <is>
          <t>/intervals[label=lightgbm:dyn-prof-v2&amp;personalization=adaptive&amp;split=test&amp;horizon=30]/coverage</t>
        </is>
      </c>
      <c r="H79" s="7" t="inlineStr">
        <is>
          <t>2026-10-13T08:02:25+00:00</t>
        </is>
      </c>
      <c r="I79" s="7" t="inlineStr">
        <is>
          <t>ec8d2e7aedb517e73fdb75284a8dea24bdb8de4b4f98257c6186d2cea56152d9</t>
        </is>
      </c>
      <c r="J79" s="7" t="inlineStr">
        <is>
          <t>protocol configs/experiments/gt-primary-2026-10-13-fusion.yaml (first commit b60d149 2026-10-13T13:32:50+05:30)</t>
        </is>
      </c>
      <c r="K79" s="7" t="inlineStr">
        <is>
          <t>local / reproducible-only (git-ignored)</t>
        </is>
      </c>
    </row>
    <row r="80">
      <c r="A80" s="7" t="inlineStr">
        <is>
          <t>fus.iv.width30</t>
        </is>
      </c>
      <c r="B80" s="7" t="inlineStr">
        <is>
          <t>Served 80 % range, final test, 30 min: width</t>
        </is>
      </c>
      <c r="C80" s="8" t="n">
        <v>33.42339942101563</v>
      </c>
      <c r="D80" s="7" t="inlineStr">
        <is>
          <t>mg/dL</t>
        </is>
      </c>
      <c r="E80" s="7" t="inlineStr">
        <is>
          <t>fusion</t>
        </is>
      </c>
      <c r="F80" s="7" t="inlineStr">
        <is>
          <t>artifacts/experiments/gt-primary-2026-10-13-fusion/metrics.json</t>
        </is>
      </c>
      <c r="G80" s="7" t="inlineStr">
        <is>
          <t>/intervals[label=lightgbm:dyn-prof-v2&amp;personalization=adaptive&amp;split=test&amp;horizon=30]/width</t>
        </is>
      </c>
      <c r="H80" s="7" t="inlineStr">
        <is>
          <t>2026-10-13T08:02:25+00:00</t>
        </is>
      </c>
      <c r="I80" s="7" t="inlineStr">
        <is>
          <t>ec8d2e7aedb517e73fdb75284a8dea24bdb8de4b4f98257c6186d2cea56152d9</t>
        </is>
      </c>
      <c r="J80" s="7" t="inlineStr">
        <is>
          <t>protocol configs/experiments/gt-primary-2026-10-13-fusion.yaml (first commit b60d149 2026-10-13T13:32:50+05:30)</t>
        </is>
      </c>
      <c r="K80" s="7" t="inlineStr">
        <is>
          <t>local / reproducible-only (git-ignored)</t>
        </is>
      </c>
    </row>
    <row r="81">
      <c r="A81" s="7" t="inlineStr">
        <is>
          <t>fus.iv.q30</t>
        </is>
      </c>
      <c r="B81" s="7" t="inlineStr">
        <is>
          <t>Served 80 % range, final test, 30 min: q</t>
        </is>
      </c>
      <c r="C81" s="8" t="n">
        <v>16.71169971050782</v>
      </c>
      <c r="D81" s="7" t="inlineStr">
        <is>
          <t>mg/dL</t>
        </is>
      </c>
      <c r="E81" s="7" t="inlineStr">
        <is>
          <t>fusion</t>
        </is>
      </c>
      <c r="F81" s="7" t="inlineStr">
        <is>
          <t>artifacts/experiments/gt-primary-2026-10-13-fusion/metrics.json</t>
        </is>
      </c>
      <c r="G81" s="7" t="inlineStr">
        <is>
          <t>/intervals[label=lightgbm:dyn-prof-v2&amp;personalization=adaptive&amp;split=test&amp;horizon=30]/q</t>
        </is>
      </c>
      <c r="H81" s="7" t="inlineStr">
        <is>
          <t>2026-10-13T08:02:25+00:00</t>
        </is>
      </c>
      <c r="I81" s="7" t="inlineStr">
        <is>
          <t>ec8d2e7aedb517e73fdb75284a8dea24bdb8de4b4f98257c6186d2cea56152d9</t>
        </is>
      </c>
      <c r="J81" s="7" t="inlineStr">
        <is>
          <t>protocol configs/experiments/gt-primary-2026-10-13-fusion.yaml (first commit b60d149 2026-10-13T13:32:50+05:30)</t>
        </is>
      </c>
      <c r="K81" s="7" t="inlineStr">
        <is>
          <t>local / reproducible-only (git-ignored)</t>
        </is>
      </c>
    </row>
    <row r="82">
      <c r="A82" s="7" t="inlineStr">
        <is>
          <t>fus.iv.per_patient_min30</t>
        </is>
      </c>
      <c r="B82" s="7" t="inlineStr">
        <is>
          <t>Served 80 % range, final test, 30 min: per_patient_min</t>
        </is>
      </c>
      <c r="C82" s="8" t="n">
        <v>0.6026365348399246</v>
      </c>
      <c r="D82" s="7" t="inlineStr">
        <is>
          <t>share</t>
        </is>
      </c>
      <c r="E82" s="7" t="inlineStr">
        <is>
          <t>fusion</t>
        </is>
      </c>
      <c r="F82" s="7" t="inlineStr">
        <is>
          <t>artifacts/experiments/gt-primary-2026-10-13-fusion/metrics.json</t>
        </is>
      </c>
      <c r="G82" s="7" t="inlineStr">
        <is>
          <t>/intervals[label=lightgbm:dyn-prof-v2&amp;personalization=adaptive&amp;split=test&amp;horizon=30]/per_patient_min</t>
        </is>
      </c>
      <c r="H82" s="7" t="inlineStr">
        <is>
          <t>2026-10-13T08:02:25+00:00</t>
        </is>
      </c>
      <c r="I82" s="7" t="inlineStr">
        <is>
          <t>ec8d2e7aedb517e73fdb75284a8dea24bdb8de4b4f98257c6186d2cea56152d9</t>
        </is>
      </c>
      <c r="J82" s="7" t="inlineStr">
        <is>
          <t>protocol configs/experiments/gt-primary-2026-10-13-fusion.yaml (first commit b60d149 2026-10-13T13:32:50+05:30)</t>
        </is>
      </c>
      <c r="K82" s="7" t="inlineStr">
        <is>
          <t>local / reproducible-only (git-ignored)</t>
        </is>
      </c>
    </row>
    <row r="83">
      <c r="A83" s="7" t="inlineStr">
        <is>
          <t>fus.iv.per_patient_max30</t>
        </is>
      </c>
      <c r="B83" s="7" t="inlineStr">
        <is>
          <t>Served 80 % range, final test, 30 min: per_patient_max</t>
        </is>
      </c>
      <c r="C83" s="8" t="n">
        <v>0.8231046931407943</v>
      </c>
      <c r="D83" s="7" t="inlineStr">
        <is>
          <t>share</t>
        </is>
      </c>
      <c r="E83" s="7" t="inlineStr">
        <is>
          <t>fusion</t>
        </is>
      </c>
      <c r="F83" s="7" t="inlineStr">
        <is>
          <t>artifacts/experiments/gt-primary-2026-10-13-fusion/metrics.json</t>
        </is>
      </c>
      <c r="G83" s="7" t="inlineStr">
        <is>
          <t>/intervals[label=lightgbm:dyn-prof-v2&amp;personalization=adaptive&amp;split=test&amp;horizon=30]/per_patient_max</t>
        </is>
      </c>
      <c r="H83" s="7" t="inlineStr">
        <is>
          <t>2026-10-13T08:02:25+00:00</t>
        </is>
      </c>
      <c r="I83" s="7" t="inlineStr">
        <is>
          <t>ec8d2e7aedb517e73fdb75284a8dea24bdb8de4b4f98257c6186d2cea56152d9</t>
        </is>
      </c>
      <c r="J83" s="7" t="inlineStr">
        <is>
          <t>protocol configs/experiments/gt-primary-2026-10-13-fusion.yaml (first commit b60d149 2026-10-13T13:32:50+05:30)</t>
        </is>
      </c>
      <c r="K83" s="7" t="inlineStr">
        <is>
          <t>local / reproducible-only (git-ignored)</t>
        </is>
      </c>
    </row>
    <row r="84">
      <c r="A84" s="7" t="inlineStr">
        <is>
          <t>fus.iv.n30</t>
        </is>
      </c>
      <c r="B84" s="7" t="inlineStr">
        <is>
          <t>Served 80 % range, final test, 30 min: n</t>
        </is>
      </c>
      <c r="C84" s="7" t="n">
        <v>7699</v>
      </c>
      <c r="D84" s="7" t="inlineStr">
        <is>
          <t>origins</t>
        </is>
      </c>
      <c r="E84" s="7" t="inlineStr">
        <is>
          <t>fusion</t>
        </is>
      </c>
      <c r="F84" s="7" t="inlineStr">
        <is>
          <t>artifacts/experiments/gt-primary-2026-10-13-fusion/metrics.json</t>
        </is>
      </c>
      <c r="G84" s="7" t="inlineStr">
        <is>
          <t>/intervals[label=lightgbm:dyn-prof-v2&amp;personalization=adaptive&amp;split=test&amp;horizon=30]/n</t>
        </is>
      </c>
      <c r="H84" s="7" t="inlineStr">
        <is>
          <t>2026-10-13T08:02:25+00:00</t>
        </is>
      </c>
      <c r="I84" s="7" t="inlineStr">
        <is>
          <t>ec8d2e7aedb517e73fdb75284a8dea24bdb8de4b4f98257c6186d2cea56152d9</t>
        </is>
      </c>
      <c r="J84" s="7" t="inlineStr">
        <is>
          <t>protocol configs/experiments/gt-primary-2026-10-13-fusion.yaml (first commit b60d149 2026-10-13T13:32:50+05:30)</t>
        </is>
      </c>
      <c r="K84" s="7" t="inlineStr">
        <is>
          <t>local / reproducible-only (git-ignored)</t>
        </is>
      </c>
    </row>
    <row r="85">
      <c r="A85" s="7" t="inlineStr">
        <is>
          <t>fus.iv.coverage60</t>
        </is>
      </c>
      <c r="B85" s="7" t="inlineStr">
        <is>
          <t>Served 80 % range, final test, 60 min: coverage</t>
        </is>
      </c>
      <c r="C85" s="8" t="n">
        <v>0.7397919375812744</v>
      </c>
      <c r="D85" s="7" t="inlineStr">
        <is>
          <t>share</t>
        </is>
      </c>
      <c r="E85" s="7" t="inlineStr">
        <is>
          <t>fusion</t>
        </is>
      </c>
      <c r="F85" s="7" t="inlineStr">
        <is>
          <t>artifacts/experiments/gt-primary-2026-10-13-fusion/metrics.json</t>
        </is>
      </c>
      <c r="G85" s="7" t="inlineStr">
        <is>
          <t>/intervals[label=lightgbm:dyn-prof-v2&amp;personalization=adaptive&amp;split=test&amp;horizon=60]/coverage</t>
        </is>
      </c>
      <c r="H85" s="7" t="inlineStr">
        <is>
          <t>2026-10-13T08:02:25+00:00</t>
        </is>
      </c>
      <c r="I85" s="7" t="inlineStr">
        <is>
          <t>ec8d2e7aedb517e73fdb75284a8dea24bdb8de4b4f98257c6186d2cea56152d9</t>
        </is>
      </c>
      <c r="J85" s="7" t="inlineStr">
        <is>
          <t>protocol configs/experiments/gt-primary-2026-10-13-fusion.yaml (first commit b60d149 2026-10-13T13:32:50+05:30)</t>
        </is>
      </c>
      <c r="K85" s="7" t="inlineStr">
        <is>
          <t>local / reproducible-only (git-ignored)</t>
        </is>
      </c>
    </row>
    <row r="86">
      <c r="A86" s="7" t="inlineStr">
        <is>
          <t>fus.iv.width60</t>
        </is>
      </c>
      <c r="B86" s="7" t="inlineStr">
        <is>
          <t>Served 80 % range, final test, 60 min: width</t>
        </is>
      </c>
      <c r="C86" s="8" t="n">
        <v>52.72940590465078</v>
      </c>
      <c r="D86" s="7" t="inlineStr">
        <is>
          <t>mg/dL</t>
        </is>
      </c>
      <c r="E86" s="7" t="inlineStr">
        <is>
          <t>fusion</t>
        </is>
      </c>
      <c r="F86" s="7" t="inlineStr">
        <is>
          <t>artifacts/experiments/gt-primary-2026-10-13-fusion/metrics.json</t>
        </is>
      </c>
      <c r="G86" s="7" t="inlineStr">
        <is>
          <t>/intervals[label=lightgbm:dyn-prof-v2&amp;personalization=adaptive&amp;split=test&amp;horizon=60]/width</t>
        </is>
      </c>
      <c r="H86" s="7" t="inlineStr">
        <is>
          <t>2026-10-13T08:02:25+00:00</t>
        </is>
      </c>
      <c r="I86" s="7" t="inlineStr">
        <is>
          <t>ec8d2e7aedb517e73fdb75284a8dea24bdb8de4b4f98257c6186d2cea56152d9</t>
        </is>
      </c>
      <c r="J86" s="7" t="inlineStr">
        <is>
          <t>protocol configs/experiments/gt-primary-2026-10-13-fusion.yaml (first commit b60d149 2026-10-13T13:32:50+05:30)</t>
        </is>
      </c>
      <c r="K86" s="7" t="inlineStr">
        <is>
          <t>local / reproducible-only (git-ignored)</t>
        </is>
      </c>
    </row>
    <row r="87">
      <c r="A87" s="7" t="inlineStr">
        <is>
          <t>fus.iv.q60</t>
        </is>
      </c>
      <c r="B87" s="7" t="inlineStr">
        <is>
          <t>Served 80 % range, final test, 60 min: q</t>
        </is>
      </c>
      <c r="C87" s="8" t="n">
        <v>26.36470295232539</v>
      </c>
      <c r="D87" s="7" t="inlineStr">
        <is>
          <t>mg/dL</t>
        </is>
      </c>
      <c r="E87" s="7" t="inlineStr">
        <is>
          <t>fusion</t>
        </is>
      </c>
      <c r="F87" s="7" t="inlineStr">
        <is>
          <t>artifacts/experiments/gt-primary-2026-10-13-fusion/metrics.json</t>
        </is>
      </c>
      <c r="G87" s="7" t="inlineStr">
        <is>
          <t>/intervals[label=lightgbm:dyn-prof-v2&amp;personalization=adaptive&amp;split=test&amp;horizon=60]/q</t>
        </is>
      </c>
      <c r="H87" s="7" t="inlineStr">
        <is>
          <t>2026-10-13T08:02:25+00:00</t>
        </is>
      </c>
      <c r="I87" s="7" t="inlineStr">
        <is>
          <t>ec8d2e7aedb517e73fdb75284a8dea24bdb8de4b4f98257c6186d2cea56152d9</t>
        </is>
      </c>
      <c r="J87" s="7" t="inlineStr">
        <is>
          <t>protocol configs/experiments/gt-primary-2026-10-13-fusion.yaml (first commit b60d149 2026-10-13T13:32:50+05:30)</t>
        </is>
      </c>
      <c r="K87" s="7" t="inlineStr">
        <is>
          <t>local / reproducible-only (git-ignored)</t>
        </is>
      </c>
    </row>
    <row r="88">
      <c r="A88" s="7" t="inlineStr">
        <is>
          <t>fus.iv.per_patient_min60</t>
        </is>
      </c>
      <c r="B88" s="7" t="inlineStr">
        <is>
          <t>Served 80 % range, final test, 60 min: per_patient_min</t>
        </is>
      </c>
      <c r="C88" s="8" t="n">
        <v>0.5142857142857142</v>
      </c>
      <c r="D88" s="7" t="inlineStr">
        <is>
          <t>share</t>
        </is>
      </c>
      <c r="E88" s="7" t="inlineStr">
        <is>
          <t>fusion</t>
        </is>
      </c>
      <c r="F88" s="7" t="inlineStr">
        <is>
          <t>artifacts/experiments/gt-primary-2026-10-13-fusion/metrics.json</t>
        </is>
      </c>
      <c r="G88" s="7" t="inlineStr">
        <is>
          <t>/intervals[label=lightgbm:dyn-prof-v2&amp;personalization=adaptive&amp;split=test&amp;horizon=60]/per_patient_min</t>
        </is>
      </c>
      <c r="H88" s="7" t="inlineStr">
        <is>
          <t>2026-10-13T08:02:25+00:00</t>
        </is>
      </c>
      <c r="I88" s="7" t="inlineStr">
        <is>
          <t>ec8d2e7aedb517e73fdb75284a8dea24bdb8de4b4f98257c6186d2cea56152d9</t>
        </is>
      </c>
      <c r="J88" s="7" t="inlineStr">
        <is>
          <t>protocol configs/experiments/gt-primary-2026-10-13-fusion.yaml (first commit b60d149 2026-10-13T13:32:50+05:30)</t>
        </is>
      </c>
      <c r="K88" s="7" t="inlineStr">
        <is>
          <t>local / reproducible-only (git-ignored)</t>
        </is>
      </c>
    </row>
    <row r="89">
      <c r="A89" s="7" t="inlineStr">
        <is>
          <t>fus.iv.per_patient_max60</t>
        </is>
      </c>
      <c r="B89" s="7" t="inlineStr">
        <is>
          <t>Served 80 % range, final test, 60 min: per_patient_max</t>
        </is>
      </c>
      <c r="C89" s="8" t="n">
        <v>0.8756756756756757</v>
      </c>
      <c r="D89" s="7" t="inlineStr">
        <is>
          <t>share</t>
        </is>
      </c>
      <c r="E89" s="7" t="inlineStr">
        <is>
          <t>fusion</t>
        </is>
      </c>
      <c r="F89" s="7" t="inlineStr">
        <is>
          <t>artifacts/experiments/gt-primary-2026-10-13-fusion/metrics.json</t>
        </is>
      </c>
      <c r="G89" s="7" t="inlineStr">
        <is>
          <t>/intervals[label=lightgbm:dyn-prof-v2&amp;personalization=adaptive&amp;split=test&amp;horizon=60]/per_patient_max</t>
        </is>
      </c>
      <c r="H89" s="7" t="inlineStr">
        <is>
          <t>2026-10-13T08:02:25+00:00</t>
        </is>
      </c>
      <c r="I89" s="7" t="inlineStr">
        <is>
          <t>ec8d2e7aedb517e73fdb75284a8dea24bdb8de4b4f98257c6186d2cea56152d9</t>
        </is>
      </c>
      <c r="J89" s="7" t="inlineStr">
        <is>
          <t>protocol configs/experiments/gt-primary-2026-10-13-fusion.yaml (first commit b60d149 2026-10-13T13:32:50+05:30)</t>
        </is>
      </c>
      <c r="K89" s="7" t="inlineStr">
        <is>
          <t>local / reproducible-only (git-ignored)</t>
        </is>
      </c>
    </row>
    <row r="90">
      <c r="A90" s="7" t="inlineStr">
        <is>
          <t>fus.iv.n60</t>
        </is>
      </c>
      <c r="B90" s="7" t="inlineStr">
        <is>
          <t>Served 80 % range, final test, 60 min: n</t>
        </is>
      </c>
      <c r="C90" s="7" t="n">
        <v>7690</v>
      </c>
      <c r="D90" s="7" t="inlineStr">
        <is>
          <t>origins</t>
        </is>
      </c>
      <c r="E90" s="7" t="inlineStr">
        <is>
          <t>fusion</t>
        </is>
      </c>
      <c r="F90" s="7" t="inlineStr">
        <is>
          <t>artifacts/experiments/gt-primary-2026-10-13-fusion/metrics.json</t>
        </is>
      </c>
      <c r="G90" s="7" t="inlineStr">
        <is>
          <t>/intervals[label=lightgbm:dyn-prof-v2&amp;personalization=adaptive&amp;split=test&amp;horizon=60]/n</t>
        </is>
      </c>
      <c r="H90" s="7" t="inlineStr">
        <is>
          <t>2026-10-13T08:02:25+00:00</t>
        </is>
      </c>
      <c r="I90" s="7" t="inlineStr">
        <is>
          <t>ec8d2e7aedb517e73fdb75284a8dea24bdb8de4b4f98257c6186d2cea56152d9</t>
        </is>
      </c>
      <c r="J90" s="7" t="inlineStr">
        <is>
          <t>protocol configs/experiments/gt-primary-2026-10-13-fusion.yaml (first commit b60d149 2026-10-13T13:32:50+05:30)</t>
        </is>
      </c>
      <c r="K90" s="7" t="inlineStr">
        <is>
          <t>local / reproducible-only (git-ignored)</t>
        </is>
      </c>
    </row>
    <row r="91">
      <c r="A91" s="7" t="inlineStr">
        <is>
          <t>fus.seg.training.origins</t>
        </is>
      </c>
      <c r="B91" s="7" t="inlineStr">
        <is>
          <t>Cohort, training segment: origins</t>
        </is>
      </c>
      <c r="C91" s="7" t="n">
        <v>23745</v>
      </c>
      <c r="D91" s="7" t="inlineStr">
        <is>
          <t>origins</t>
        </is>
      </c>
      <c r="E91" s="7" t="inlineStr">
        <is>
          <t>fusion</t>
        </is>
      </c>
      <c r="F91" s="7" t="inlineStr">
        <is>
          <t>artifacts/experiments/gt-primary-2026-10-13-fusion/metrics.json</t>
        </is>
      </c>
      <c r="G91" s="7" t="inlineStr">
        <is>
          <t>/cohort/by_segment/training/origins</t>
        </is>
      </c>
      <c r="H91" s="7" t="inlineStr">
        <is>
          <t>2026-10-13T08:02:25+00:00</t>
        </is>
      </c>
      <c r="I91" s="7" t="inlineStr">
        <is>
          <t>ec8d2e7aedb517e73fdb75284a8dea24bdb8de4b4f98257c6186d2cea56152d9</t>
        </is>
      </c>
      <c r="J91" s="7" t="inlineStr">
        <is>
          <t>protocol configs/experiments/gt-primary-2026-10-13-fusion.yaml (first commit b60d149 2026-10-13T13:32:50+05:30)</t>
        </is>
      </c>
      <c r="K91" s="7" t="inlineStr">
        <is>
          <t>local / reproducible-only (git-ignored)</t>
        </is>
      </c>
    </row>
    <row r="92">
      <c r="A92" s="7" t="inlineStr">
        <is>
          <t>fus.seg.training.issued_forecast_origins</t>
        </is>
      </c>
      <c r="B92" s="7" t="inlineStr">
        <is>
          <t>Cohort, training segment: issued_forecast_origins</t>
        </is>
      </c>
      <c r="C92" s="7" t="n">
        <v>23577</v>
      </c>
      <c r="D92" s="7" t="inlineStr">
        <is>
          <t>origins</t>
        </is>
      </c>
      <c r="E92" s="7" t="inlineStr">
        <is>
          <t>fusion</t>
        </is>
      </c>
      <c r="F92" s="7" t="inlineStr">
        <is>
          <t>artifacts/experiments/gt-primary-2026-10-13-fusion/metrics.json</t>
        </is>
      </c>
      <c r="G92" s="7" t="inlineStr">
        <is>
          <t>/cohort/by_segment/training/issued_forecast_origins</t>
        </is>
      </c>
      <c r="H92" s="7" t="inlineStr">
        <is>
          <t>2026-10-13T08:02:25+00:00</t>
        </is>
      </c>
      <c r="I92" s="7" t="inlineStr">
        <is>
          <t>ec8d2e7aedb517e73fdb75284a8dea24bdb8de4b4f98257c6186d2cea56152d9</t>
        </is>
      </c>
      <c r="J92" s="7" t="inlineStr">
        <is>
          <t>protocol configs/experiments/gt-primary-2026-10-13-fusion.yaml (first commit b60d149 2026-10-13T13:32:50+05:30)</t>
        </is>
      </c>
      <c r="K92" s="7" t="inlineStr">
        <is>
          <t>local / reproducible-only (git-ignored)</t>
        </is>
      </c>
    </row>
    <row r="93">
      <c r="A93" s="7" t="inlineStr">
        <is>
          <t>fus.seg.training.covered_hours</t>
        </is>
      </c>
      <c r="B93" s="7" t="inlineStr">
        <is>
          <t>Cohort, training segment: covered_hours</t>
        </is>
      </c>
      <c r="C93" s="8" t="n">
        <v>1978.8</v>
      </c>
      <c r="D93" s="7" t="inlineStr">
        <is>
          <t>hours</t>
        </is>
      </c>
      <c r="E93" s="7" t="inlineStr">
        <is>
          <t>fusion</t>
        </is>
      </c>
      <c r="F93" s="7" t="inlineStr">
        <is>
          <t>artifacts/experiments/gt-primary-2026-10-13-fusion/metrics.json</t>
        </is>
      </c>
      <c r="G93" s="7" t="inlineStr">
        <is>
          <t>/cohort/by_segment/training/covered_hours</t>
        </is>
      </c>
      <c r="H93" s="7" t="inlineStr">
        <is>
          <t>2026-10-13T08:02:25+00:00</t>
        </is>
      </c>
      <c r="I93" s="7" t="inlineStr">
        <is>
          <t>ec8d2e7aedb517e73fdb75284a8dea24bdb8de4b4f98257c6186d2cea56152d9</t>
        </is>
      </c>
      <c r="J93" s="7" t="inlineStr">
        <is>
          <t>protocol configs/experiments/gt-primary-2026-10-13-fusion.yaml (first commit b60d149 2026-10-13T13:32:50+05:30)</t>
        </is>
      </c>
      <c r="K93" s="7" t="inlineStr">
        <is>
          <t>local / reproducible-only (git-ignored)</t>
        </is>
      </c>
    </row>
    <row r="94">
      <c r="A94" s="7" t="inlineStr">
        <is>
          <t>fus.seg.training.matched_targets_30</t>
        </is>
      </c>
      <c r="B94" s="7" t="inlineStr">
        <is>
          <t>Cohort, training segment: matched_targets_30</t>
        </is>
      </c>
      <c r="C94" s="7" t="n">
        <v>23567</v>
      </c>
      <c r="D94" s="7" t="inlineStr">
        <is>
          <t>targets</t>
        </is>
      </c>
      <c r="E94" s="7" t="inlineStr">
        <is>
          <t>fusion</t>
        </is>
      </c>
      <c r="F94" s="7" t="inlineStr">
        <is>
          <t>artifacts/experiments/gt-primary-2026-10-13-fusion/metrics.json</t>
        </is>
      </c>
      <c r="G94" s="7" t="inlineStr">
        <is>
          <t>/cohort/by_segment/training/matched_targets_30</t>
        </is>
      </c>
      <c r="H94" s="7" t="inlineStr">
        <is>
          <t>2026-10-13T08:02:25+00:00</t>
        </is>
      </c>
      <c r="I94" s="7" t="inlineStr">
        <is>
          <t>ec8d2e7aedb517e73fdb75284a8dea24bdb8de4b4f98257c6186d2cea56152d9</t>
        </is>
      </c>
      <c r="J94" s="7" t="inlineStr">
        <is>
          <t>protocol configs/experiments/gt-primary-2026-10-13-fusion.yaml (first commit b60d149 2026-10-13T13:32:50+05:30)</t>
        </is>
      </c>
      <c r="K94" s="7" t="inlineStr">
        <is>
          <t>local / reproducible-only (git-ignored)</t>
        </is>
      </c>
    </row>
    <row r="95">
      <c r="A95" s="7" t="inlineStr">
        <is>
          <t>fus.seg.training.matched_targets_60</t>
        </is>
      </c>
      <c r="B95" s="7" t="inlineStr">
        <is>
          <t>Cohort, training segment: matched_targets_60</t>
        </is>
      </c>
      <c r="C95" s="7" t="n">
        <v>23567</v>
      </c>
      <c r="D95" s="7" t="inlineStr">
        <is>
          <t>targets</t>
        </is>
      </c>
      <c r="E95" s="7" t="inlineStr">
        <is>
          <t>fusion</t>
        </is>
      </c>
      <c r="F95" s="7" t="inlineStr">
        <is>
          <t>artifacts/experiments/gt-primary-2026-10-13-fusion/metrics.json</t>
        </is>
      </c>
      <c r="G95" s="7" t="inlineStr">
        <is>
          <t>/cohort/by_segment/training/matched_targets_60</t>
        </is>
      </c>
      <c r="H95" s="7" t="inlineStr">
        <is>
          <t>2026-10-13T08:02:25+00:00</t>
        </is>
      </c>
      <c r="I95" s="7" t="inlineStr">
        <is>
          <t>ec8d2e7aedb517e73fdb75284a8dea24bdb8de4b4f98257c6186d2cea56152d9</t>
        </is>
      </c>
      <c r="J95" s="7" t="inlineStr">
        <is>
          <t>protocol configs/experiments/gt-primary-2026-10-13-fusion.yaml (first commit b60d149 2026-10-13T13:32:50+05:30)</t>
        </is>
      </c>
      <c r="K95" s="7" t="inlineStr">
        <is>
          <t>local / reproducible-only (git-ignored)</t>
        </is>
      </c>
    </row>
    <row r="96">
      <c r="A96" s="7" t="inlineStr">
        <is>
          <t>fus.seg.training.distinct_new_onsets_60</t>
        </is>
      </c>
      <c r="B96" s="7" t="inlineStr">
        <is>
          <t>Cohort, training segment: distinct_new_onsets_60</t>
        </is>
      </c>
      <c r="C96" s="7" t="n">
        <v>203</v>
      </c>
      <c r="D96" s="7" t="inlineStr">
        <is>
          <t>onsets</t>
        </is>
      </c>
      <c r="E96" s="7" t="inlineStr">
        <is>
          <t>fusion</t>
        </is>
      </c>
      <c r="F96" s="7" t="inlineStr">
        <is>
          <t>artifacts/experiments/gt-primary-2026-10-13-fusion/metrics.json</t>
        </is>
      </c>
      <c r="G96" s="7" t="inlineStr">
        <is>
          <t>/cohort/by_segment/training/distinct_new_onsets_60</t>
        </is>
      </c>
      <c r="H96" s="7" t="inlineStr">
        <is>
          <t>2026-10-13T08:02:25+00:00</t>
        </is>
      </c>
      <c r="I96" s="7" t="inlineStr">
        <is>
          <t>ec8d2e7aedb517e73fdb75284a8dea24bdb8de4b4f98257c6186d2cea56152d9</t>
        </is>
      </c>
      <c r="J96" s="7" t="inlineStr">
        <is>
          <t>protocol configs/experiments/gt-primary-2026-10-13-fusion.yaml (first commit b60d149 2026-10-13T13:32:50+05:30)</t>
        </is>
      </c>
      <c r="K96" s="7" t="inlineStr">
        <is>
          <t>local / reproducible-only (git-ignored)</t>
        </is>
      </c>
    </row>
    <row r="97">
      <c r="A97" s="7" t="inlineStr">
        <is>
          <t>fus.seg.validation.origins</t>
        </is>
      </c>
      <c r="B97" s="7" t="inlineStr">
        <is>
          <t>Cohort, validation segment: origins</t>
        </is>
      </c>
      <c r="C97" s="7" t="n">
        <v>3766</v>
      </c>
      <c r="D97" s="7" t="inlineStr">
        <is>
          <t>origins</t>
        </is>
      </c>
      <c r="E97" s="7" t="inlineStr">
        <is>
          <t>fusion</t>
        </is>
      </c>
      <c r="F97" s="7" t="inlineStr">
        <is>
          <t>artifacts/experiments/gt-primary-2026-10-13-fusion/metrics.json</t>
        </is>
      </c>
      <c r="G97" s="7" t="inlineStr">
        <is>
          <t>/cohort/by_segment/validation/origins</t>
        </is>
      </c>
      <c r="H97" s="7" t="inlineStr">
        <is>
          <t>2026-10-13T08:02:25+00:00</t>
        </is>
      </c>
      <c r="I97" s="7" t="inlineStr">
        <is>
          <t>ec8d2e7aedb517e73fdb75284a8dea24bdb8de4b4f98257c6186d2cea56152d9</t>
        </is>
      </c>
      <c r="J97" s="7" t="inlineStr">
        <is>
          <t>protocol configs/experiments/gt-primary-2026-10-13-fusion.yaml (first commit b60d149 2026-10-13T13:32:50+05:30)</t>
        </is>
      </c>
      <c r="K97" s="7" t="inlineStr">
        <is>
          <t>local / reproducible-only (git-ignored)</t>
        </is>
      </c>
    </row>
    <row r="98">
      <c r="A98" s="7" t="inlineStr">
        <is>
          <t>fus.seg.validation.issued_forecast_origins</t>
        </is>
      </c>
      <c r="B98" s="7" t="inlineStr">
        <is>
          <t>Cohort, validation segment: issued_forecast_origins</t>
        </is>
      </c>
      <c r="C98" s="7" t="n">
        <v>3766</v>
      </c>
      <c r="D98" s="7" t="inlineStr">
        <is>
          <t>origins</t>
        </is>
      </c>
      <c r="E98" s="7" t="inlineStr">
        <is>
          <t>fusion</t>
        </is>
      </c>
      <c r="F98" s="7" t="inlineStr">
        <is>
          <t>artifacts/experiments/gt-primary-2026-10-13-fusion/metrics.json</t>
        </is>
      </c>
      <c r="G98" s="7" t="inlineStr">
        <is>
          <t>/cohort/by_segment/validation/issued_forecast_origins</t>
        </is>
      </c>
      <c r="H98" s="7" t="inlineStr">
        <is>
          <t>2026-10-13T08:02:25+00:00</t>
        </is>
      </c>
      <c r="I98" s="7" t="inlineStr">
        <is>
          <t>ec8d2e7aedb517e73fdb75284a8dea24bdb8de4b4f98257c6186d2cea56152d9</t>
        </is>
      </c>
      <c r="J98" s="7" t="inlineStr">
        <is>
          <t>protocol configs/experiments/gt-primary-2026-10-13-fusion.yaml (first commit b60d149 2026-10-13T13:32:50+05:30)</t>
        </is>
      </c>
      <c r="K98" s="7" t="inlineStr">
        <is>
          <t>local / reproducible-only (git-ignored)</t>
        </is>
      </c>
    </row>
    <row r="99">
      <c r="A99" s="7" t="inlineStr">
        <is>
          <t>fus.seg.validation.covered_hours</t>
        </is>
      </c>
      <c r="B99" s="7" t="inlineStr">
        <is>
          <t>Cohort, validation segment: covered_hours</t>
        </is>
      </c>
      <c r="C99" s="8" t="n">
        <v>313.8</v>
      </c>
      <c r="D99" s="7" t="inlineStr">
        <is>
          <t>hours</t>
        </is>
      </c>
      <c r="E99" s="7" t="inlineStr">
        <is>
          <t>fusion</t>
        </is>
      </c>
      <c r="F99" s="7" t="inlineStr">
        <is>
          <t>artifacts/experiments/gt-primary-2026-10-13-fusion/metrics.json</t>
        </is>
      </c>
      <c r="G99" s="7" t="inlineStr">
        <is>
          <t>/cohort/by_segment/validation/covered_hours</t>
        </is>
      </c>
      <c r="H99" s="7" t="inlineStr">
        <is>
          <t>2026-10-13T08:02:25+00:00</t>
        </is>
      </c>
      <c r="I99" s="7" t="inlineStr">
        <is>
          <t>ec8d2e7aedb517e73fdb75284a8dea24bdb8de4b4f98257c6186d2cea56152d9</t>
        </is>
      </c>
      <c r="J99" s="7" t="inlineStr">
        <is>
          <t>protocol configs/experiments/gt-primary-2026-10-13-fusion.yaml (first commit b60d149 2026-10-13T13:32:50+05:30)</t>
        </is>
      </c>
      <c r="K99" s="7" t="inlineStr">
        <is>
          <t>local / reproducible-only (git-ignored)</t>
        </is>
      </c>
    </row>
    <row r="100">
      <c r="A100" s="7" t="inlineStr">
        <is>
          <t>fus.seg.validation.matched_targets_30</t>
        </is>
      </c>
      <c r="B100" s="7" t="inlineStr">
        <is>
          <t>Cohort, validation segment: matched_targets_30</t>
        </is>
      </c>
      <c r="C100" s="7" t="n">
        <v>3766</v>
      </c>
      <c r="D100" s="7" t="inlineStr">
        <is>
          <t>targets</t>
        </is>
      </c>
      <c r="E100" s="7" t="inlineStr">
        <is>
          <t>fusion</t>
        </is>
      </c>
      <c r="F100" s="7" t="inlineStr">
        <is>
          <t>artifacts/experiments/gt-primary-2026-10-13-fusion/metrics.json</t>
        </is>
      </c>
      <c r="G100" s="7" t="inlineStr">
        <is>
          <t>/cohort/by_segment/validation/matched_targets_30</t>
        </is>
      </c>
      <c r="H100" s="7" t="inlineStr">
        <is>
          <t>2026-10-13T08:02:25+00:00</t>
        </is>
      </c>
      <c r="I100" s="7" t="inlineStr">
        <is>
          <t>ec8d2e7aedb517e73fdb75284a8dea24bdb8de4b4f98257c6186d2cea56152d9</t>
        </is>
      </c>
      <c r="J100" s="7" t="inlineStr">
        <is>
          <t>protocol configs/experiments/gt-primary-2026-10-13-fusion.yaml (first commit b60d149 2026-10-13T13:32:50+05:30)</t>
        </is>
      </c>
      <c r="K100" s="7" t="inlineStr">
        <is>
          <t>local / reproducible-only (git-ignored)</t>
        </is>
      </c>
    </row>
    <row r="101">
      <c r="A101" s="7" t="inlineStr">
        <is>
          <t>fus.seg.validation.matched_targets_60</t>
        </is>
      </c>
      <c r="B101" s="7" t="inlineStr">
        <is>
          <t>Cohort, validation segment: matched_targets_60</t>
        </is>
      </c>
      <c r="C101" s="7" t="n">
        <v>3766</v>
      </c>
      <c r="D101" s="7" t="inlineStr">
        <is>
          <t>targets</t>
        </is>
      </c>
      <c r="E101" s="7" t="inlineStr">
        <is>
          <t>fusion</t>
        </is>
      </c>
      <c r="F101" s="7" t="inlineStr">
        <is>
          <t>artifacts/experiments/gt-primary-2026-10-13-fusion/metrics.json</t>
        </is>
      </c>
      <c r="G101" s="7" t="inlineStr">
        <is>
          <t>/cohort/by_segment/validation/matched_targets_60</t>
        </is>
      </c>
      <c r="H101" s="7" t="inlineStr">
        <is>
          <t>2026-10-13T08:02:25+00:00</t>
        </is>
      </c>
      <c r="I101" s="7" t="inlineStr">
        <is>
          <t>ec8d2e7aedb517e73fdb75284a8dea24bdb8de4b4f98257c6186d2cea56152d9</t>
        </is>
      </c>
      <c r="J101" s="7" t="inlineStr">
        <is>
          <t>protocol configs/experiments/gt-primary-2026-10-13-fusion.yaml (first commit b60d149 2026-10-13T13:32:50+05:30)</t>
        </is>
      </c>
      <c r="K101" s="7" t="inlineStr">
        <is>
          <t>local / reproducible-only (git-ignored)</t>
        </is>
      </c>
    </row>
    <row r="102">
      <c r="A102" s="7" t="inlineStr">
        <is>
          <t>fus.seg.validation.distinct_new_onsets_60</t>
        </is>
      </c>
      <c r="B102" s="7" t="inlineStr">
        <is>
          <t>Cohort, validation segment: distinct_new_onsets_60</t>
        </is>
      </c>
      <c r="C102" s="7" t="n">
        <v>32</v>
      </c>
      <c r="D102" s="7" t="inlineStr">
        <is>
          <t>onsets</t>
        </is>
      </c>
      <c r="E102" s="7" t="inlineStr">
        <is>
          <t>fusion</t>
        </is>
      </c>
      <c r="F102" s="7" t="inlineStr">
        <is>
          <t>artifacts/experiments/gt-primary-2026-10-13-fusion/metrics.json</t>
        </is>
      </c>
      <c r="G102" s="7" t="inlineStr">
        <is>
          <t>/cohort/by_segment/validation/distinct_new_onsets_60</t>
        </is>
      </c>
      <c r="H102" s="7" t="inlineStr">
        <is>
          <t>2026-10-13T08:02:25+00:00</t>
        </is>
      </c>
      <c r="I102" s="7" t="inlineStr">
        <is>
          <t>ec8d2e7aedb517e73fdb75284a8dea24bdb8de4b4f98257c6186d2cea56152d9</t>
        </is>
      </c>
      <c r="J102" s="7" t="inlineStr">
        <is>
          <t>protocol configs/experiments/gt-primary-2026-10-13-fusion.yaml (first commit b60d149 2026-10-13T13:32:50+05:30)</t>
        </is>
      </c>
      <c r="K102" s="7" t="inlineStr">
        <is>
          <t>local / reproducible-only (git-ignored)</t>
        </is>
      </c>
    </row>
    <row r="103">
      <c r="A103" s="7" t="inlineStr">
        <is>
          <t>fus.seg.calibration.origins</t>
        </is>
      </c>
      <c r="B103" s="7" t="inlineStr">
        <is>
          <t>Cohort, calibration segment: origins</t>
        </is>
      </c>
      <c r="C103" s="7" t="n">
        <v>3766</v>
      </c>
      <c r="D103" s="7" t="inlineStr">
        <is>
          <t>origins</t>
        </is>
      </c>
      <c r="E103" s="7" t="inlineStr">
        <is>
          <t>fusion</t>
        </is>
      </c>
      <c r="F103" s="7" t="inlineStr">
        <is>
          <t>artifacts/experiments/gt-primary-2026-10-13-fusion/metrics.json</t>
        </is>
      </c>
      <c r="G103" s="7" t="inlineStr">
        <is>
          <t>/cohort/by_segment/calibration/origins</t>
        </is>
      </c>
      <c r="H103" s="7" t="inlineStr">
        <is>
          <t>2026-10-13T08:02:25+00:00</t>
        </is>
      </c>
      <c r="I103" s="7" t="inlineStr">
        <is>
          <t>ec8d2e7aedb517e73fdb75284a8dea24bdb8de4b4f98257c6186d2cea56152d9</t>
        </is>
      </c>
      <c r="J103" s="7" t="inlineStr">
        <is>
          <t>protocol configs/experiments/gt-primary-2026-10-13-fusion.yaml (first commit b60d149 2026-10-13T13:32:50+05:30)</t>
        </is>
      </c>
      <c r="K103" s="7" t="inlineStr">
        <is>
          <t>local / reproducible-only (git-ignored)</t>
        </is>
      </c>
    </row>
    <row r="104">
      <c r="A104" s="7" t="inlineStr">
        <is>
          <t>fus.seg.calibration.issued_forecast_origins</t>
        </is>
      </c>
      <c r="B104" s="7" t="inlineStr">
        <is>
          <t>Cohort, calibration segment: issued_forecast_origins</t>
        </is>
      </c>
      <c r="C104" s="7" t="n">
        <v>3766</v>
      </c>
      <c r="D104" s="7" t="inlineStr">
        <is>
          <t>origins</t>
        </is>
      </c>
      <c r="E104" s="7" t="inlineStr">
        <is>
          <t>fusion</t>
        </is>
      </c>
      <c r="F104" s="7" t="inlineStr">
        <is>
          <t>artifacts/experiments/gt-primary-2026-10-13-fusion/metrics.json</t>
        </is>
      </c>
      <c r="G104" s="7" t="inlineStr">
        <is>
          <t>/cohort/by_segment/calibration/issued_forecast_origins</t>
        </is>
      </c>
      <c r="H104" s="7" t="inlineStr">
        <is>
          <t>2026-10-13T08:02:25+00:00</t>
        </is>
      </c>
      <c r="I104" s="7" t="inlineStr">
        <is>
          <t>ec8d2e7aedb517e73fdb75284a8dea24bdb8de4b4f98257c6186d2cea56152d9</t>
        </is>
      </c>
      <c r="J104" s="7" t="inlineStr">
        <is>
          <t>protocol configs/experiments/gt-primary-2026-10-13-fusion.yaml (first commit b60d149 2026-10-13T13:32:50+05:30)</t>
        </is>
      </c>
      <c r="K104" s="7" t="inlineStr">
        <is>
          <t>local / reproducible-only (git-ignored)</t>
        </is>
      </c>
    </row>
    <row r="105">
      <c r="A105" s="7" t="inlineStr">
        <is>
          <t>fus.seg.calibration.covered_hours</t>
        </is>
      </c>
      <c r="B105" s="7" t="inlineStr">
        <is>
          <t>Cohort, calibration segment: covered_hours</t>
        </is>
      </c>
      <c r="C105" s="8" t="n">
        <v>313.8</v>
      </c>
      <c r="D105" s="7" t="inlineStr">
        <is>
          <t>hours</t>
        </is>
      </c>
      <c r="E105" s="7" t="inlineStr">
        <is>
          <t>fusion</t>
        </is>
      </c>
      <c r="F105" s="7" t="inlineStr">
        <is>
          <t>artifacts/experiments/gt-primary-2026-10-13-fusion/metrics.json</t>
        </is>
      </c>
      <c r="G105" s="7" t="inlineStr">
        <is>
          <t>/cohort/by_segment/calibration/covered_hours</t>
        </is>
      </c>
      <c r="H105" s="7" t="inlineStr">
        <is>
          <t>2026-10-13T08:02:25+00:00</t>
        </is>
      </c>
      <c r="I105" s="7" t="inlineStr">
        <is>
          <t>ec8d2e7aedb517e73fdb75284a8dea24bdb8de4b4f98257c6186d2cea56152d9</t>
        </is>
      </c>
      <c r="J105" s="7" t="inlineStr">
        <is>
          <t>protocol configs/experiments/gt-primary-2026-10-13-fusion.yaml (first commit b60d149 2026-10-13T13:32:50+05:30)</t>
        </is>
      </c>
      <c r="K105" s="7" t="inlineStr">
        <is>
          <t>local / reproducible-only (git-ignored)</t>
        </is>
      </c>
    </row>
    <row r="106">
      <c r="A106" s="7" t="inlineStr">
        <is>
          <t>fus.seg.calibration.matched_targets_30</t>
        </is>
      </c>
      <c r="B106" s="7" t="inlineStr">
        <is>
          <t>Cohort, calibration segment: matched_targets_30</t>
        </is>
      </c>
      <c r="C106" s="7" t="n">
        <v>3766</v>
      </c>
      <c r="D106" s="7" t="inlineStr">
        <is>
          <t>targets</t>
        </is>
      </c>
      <c r="E106" s="7" t="inlineStr">
        <is>
          <t>fusion</t>
        </is>
      </c>
      <c r="F106" s="7" t="inlineStr">
        <is>
          <t>artifacts/experiments/gt-primary-2026-10-13-fusion/metrics.json</t>
        </is>
      </c>
      <c r="G106" s="7" t="inlineStr">
        <is>
          <t>/cohort/by_segment/calibration/matched_targets_30</t>
        </is>
      </c>
      <c r="H106" s="7" t="inlineStr">
        <is>
          <t>2026-10-13T08:02:25+00:00</t>
        </is>
      </c>
      <c r="I106" s="7" t="inlineStr">
        <is>
          <t>ec8d2e7aedb517e73fdb75284a8dea24bdb8de4b4f98257c6186d2cea56152d9</t>
        </is>
      </c>
      <c r="J106" s="7" t="inlineStr">
        <is>
          <t>protocol configs/experiments/gt-primary-2026-10-13-fusion.yaml (first commit b60d149 2026-10-13T13:32:50+05:30)</t>
        </is>
      </c>
      <c r="K106" s="7" t="inlineStr">
        <is>
          <t>local / reproducible-only (git-ignored)</t>
        </is>
      </c>
    </row>
    <row r="107">
      <c r="A107" s="7" t="inlineStr">
        <is>
          <t>fus.seg.calibration.matched_targets_60</t>
        </is>
      </c>
      <c r="B107" s="7" t="inlineStr">
        <is>
          <t>Cohort, calibration segment: matched_targets_60</t>
        </is>
      </c>
      <c r="C107" s="7" t="n">
        <v>3766</v>
      </c>
      <c r="D107" s="7" t="inlineStr">
        <is>
          <t>targets</t>
        </is>
      </c>
      <c r="E107" s="7" t="inlineStr">
        <is>
          <t>fusion</t>
        </is>
      </c>
      <c r="F107" s="7" t="inlineStr">
        <is>
          <t>artifacts/experiments/gt-primary-2026-10-13-fusion/metrics.json</t>
        </is>
      </c>
      <c r="G107" s="7" t="inlineStr">
        <is>
          <t>/cohort/by_segment/calibration/matched_targets_60</t>
        </is>
      </c>
      <c r="H107" s="7" t="inlineStr">
        <is>
          <t>2026-10-13T08:02:25+00:00</t>
        </is>
      </c>
      <c r="I107" s="7" t="inlineStr">
        <is>
          <t>ec8d2e7aedb517e73fdb75284a8dea24bdb8de4b4f98257c6186d2cea56152d9</t>
        </is>
      </c>
      <c r="J107" s="7" t="inlineStr">
        <is>
          <t>protocol configs/experiments/gt-primary-2026-10-13-fusion.yaml (first commit b60d149 2026-10-13T13:32:50+05:30)</t>
        </is>
      </c>
      <c r="K107" s="7" t="inlineStr">
        <is>
          <t>local / reproducible-only (git-ignored)</t>
        </is>
      </c>
    </row>
    <row r="108">
      <c r="A108" s="7" t="inlineStr">
        <is>
          <t>fus.seg.calibration.distinct_new_onsets_60</t>
        </is>
      </c>
      <c r="B108" s="7" t="inlineStr">
        <is>
          <t>Cohort, calibration segment: distinct_new_onsets_60</t>
        </is>
      </c>
      <c r="C108" s="7" t="n">
        <v>28</v>
      </c>
      <c r="D108" s="7" t="inlineStr">
        <is>
          <t>onsets</t>
        </is>
      </c>
      <c r="E108" s="7" t="inlineStr">
        <is>
          <t>fusion</t>
        </is>
      </c>
      <c r="F108" s="7" t="inlineStr">
        <is>
          <t>artifacts/experiments/gt-primary-2026-10-13-fusion/metrics.json</t>
        </is>
      </c>
      <c r="G108" s="7" t="inlineStr">
        <is>
          <t>/cohort/by_segment/calibration/distinct_new_onsets_60</t>
        </is>
      </c>
      <c r="H108" s="7" t="inlineStr">
        <is>
          <t>2026-10-13T08:02:25+00:00</t>
        </is>
      </c>
      <c r="I108" s="7" t="inlineStr">
        <is>
          <t>ec8d2e7aedb517e73fdb75284a8dea24bdb8de4b4f98257c6186d2cea56152d9</t>
        </is>
      </c>
      <c r="J108" s="7" t="inlineStr">
        <is>
          <t>protocol configs/experiments/gt-primary-2026-10-13-fusion.yaml (first commit b60d149 2026-10-13T13:32:50+05:30)</t>
        </is>
      </c>
      <c r="K108" s="7" t="inlineStr">
        <is>
          <t>local / reproducible-only (git-ignored)</t>
        </is>
      </c>
    </row>
    <row r="109">
      <c r="A109" s="7" t="inlineStr">
        <is>
          <t>fus.seg.test.origins</t>
        </is>
      </c>
      <c r="B109" s="7" t="inlineStr">
        <is>
          <t>Cohort, test segment: origins</t>
        </is>
      </c>
      <c r="C109" s="7" t="n">
        <v>7730</v>
      </c>
      <c r="D109" s="7" t="inlineStr">
        <is>
          <t>origins</t>
        </is>
      </c>
      <c r="E109" s="7" t="inlineStr">
        <is>
          <t>fusion</t>
        </is>
      </c>
      <c r="F109" s="7" t="inlineStr">
        <is>
          <t>artifacts/experiments/gt-primary-2026-10-13-fusion/metrics.json</t>
        </is>
      </c>
      <c r="G109" s="7" t="inlineStr">
        <is>
          <t>/cohort/by_segment/test/origins</t>
        </is>
      </c>
      <c r="H109" s="7" t="inlineStr">
        <is>
          <t>2026-10-13T08:02:25+00:00</t>
        </is>
      </c>
      <c r="I109" s="7" t="inlineStr">
        <is>
          <t>ec8d2e7aedb517e73fdb75284a8dea24bdb8de4b4f98257c6186d2cea56152d9</t>
        </is>
      </c>
      <c r="J109" s="7" t="inlineStr">
        <is>
          <t>protocol configs/experiments/gt-primary-2026-10-13-fusion.yaml (first commit b60d149 2026-10-13T13:32:50+05:30)</t>
        </is>
      </c>
      <c r="K109" s="7" t="inlineStr">
        <is>
          <t>local / reproducible-only (git-ignored)</t>
        </is>
      </c>
    </row>
    <row r="110">
      <c r="A110" s="7" t="inlineStr">
        <is>
          <t>fus.seg.test.issued_forecast_origins</t>
        </is>
      </c>
      <c r="B110" s="7" t="inlineStr">
        <is>
          <t>Cohort, test segment: issued_forecast_origins</t>
        </is>
      </c>
      <c r="C110" s="7" t="n">
        <v>7720</v>
      </c>
      <c r="D110" s="7" t="inlineStr">
        <is>
          <t>origins</t>
        </is>
      </c>
      <c r="E110" s="7" t="inlineStr">
        <is>
          <t>fusion</t>
        </is>
      </c>
      <c r="F110" s="7" t="inlineStr">
        <is>
          <t>artifacts/experiments/gt-primary-2026-10-13-fusion/metrics.json</t>
        </is>
      </c>
      <c r="G110" s="7" t="inlineStr">
        <is>
          <t>/cohort/by_segment/test/issued_forecast_origins</t>
        </is>
      </c>
      <c r="H110" s="7" t="inlineStr">
        <is>
          <t>2026-10-13T08:02:25+00:00</t>
        </is>
      </c>
      <c r="I110" s="7" t="inlineStr">
        <is>
          <t>ec8d2e7aedb517e73fdb75284a8dea24bdb8de4b4f98257c6186d2cea56152d9</t>
        </is>
      </c>
      <c r="J110" s="7" t="inlineStr">
        <is>
          <t>protocol configs/experiments/gt-primary-2026-10-13-fusion.yaml (first commit b60d149 2026-10-13T13:32:50+05:30)</t>
        </is>
      </c>
      <c r="K110" s="7" t="inlineStr">
        <is>
          <t>local / reproducible-only (git-ignored)</t>
        </is>
      </c>
    </row>
    <row r="111">
      <c r="A111" s="7" t="inlineStr">
        <is>
          <t>fus.seg.test.covered_hours</t>
        </is>
      </c>
      <c r="B111" s="7" t="inlineStr">
        <is>
          <t>Cohort, test segment: covered_hours</t>
        </is>
      </c>
      <c r="C111" s="8" t="n">
        <v>644.2</v>
      </c>
      <c r="D111" s="7" t="inlineStr">
        <is>
          <t>hours</t>
        </is>
      </c>
      <c r="E111" s="7" t="inlineStr">
        <is>
          <t>fusion</t>
        </is>
      </c>
      <c r="F111" s="7" t="inlineStr">
        <is>
          <t>artifacts/experiments/gt-primary-2026-10-13-fusion/metrics.json</t>
        </is>
      </c>
      <c r="G111" s="7" t="inlineStr">
        <is>
          <t>/cohort/by_segment/test/covered_hours</t>
        </is>
      </c>
      <c r="H111" s="7" t="inlineStr">
        <is>
          <t>2026-10-13T08:02:25+00:00</t>
        </is>
      </c>
      <c r="I111" s="7" t="inlineStr">
        <is>
          <t>ec8d2e7aedb517e73fdb75284a8dea24bdb8de4b4f98257c6186d2cea56152d9</t>
        </is>
      </c>
      <c r="J111" s="7" t="inlineStr">
        <is>
          <t>protocol configs/experiments/gt-primary-2026-10-13-fusion.yaml (first commit b60d149 2026-10-13T13:32:50+05:30)</t>
        </is>
      </c>
      <c r="K111" s="7" t="inlineStr">
        <is>
          <t>local / reproducible-only (git-ignored)</t>
        </is>
      </c>
    </row>
    <row r="112">
      <c r="A112" s="7" t="inlineStr">
        <is>
          <t>fus.seg.test.matched_targets_30</t>
        </is>
      </c>
      <c r="B112" s="7" t="inlineStr">
        <is>
          <t>Cohort, test segment: matched_targets_30</t>
        </is>
      </c>
      <c r="C112" s="7" t="n">
        <v>7699</v>
      </c>
      <c r="D112" s="7" t="inlineStr">
        <is>
          <t>targets</t>
        </is>
      </c>
      <c r="E112" s="7" t="inlineStr">
        <is>
          <t>fusion</t>
        </is>
      </c>
      <c r="F112" s="7" t="inlineStr">
        <is>
          <t>artifacts/experiments/gt-primary-2026-10-13-fusion/metrics.json</t>
        </is>
      </c>
      <c r="G112" s="7" t="inlineStr">
        <is>
          <t>/cohort/by_segment/test/matched_targets_30</t>
        </is>
      </c>
      <c r="H112" s="7" t="inlineStr">
        <is>
          <t>2026-10-13T08:02:25+00:00</t>
        </is>
      </c>
      <c r="I112" s="7" t="inlineStr">
        <is>
          <t>ec8d2e7aedb517e73fdb75284a8dea24bdb8de4b4f98257c6186d2cea56152d9</t>
        </is>
      </c>
      <c r="J112" s="7" t="inlineStr">
        <is>
          <t>protocol configs/experiments/gt-primary-2026-10-13-fusion.yaml (first commit b60d149 2026-10-13T13:32:50+05:30)</t>
        </is>
      </c>
      <c r="K112" s="7" t="inlineStr">
        <is>
          <t>local / reproducible-only (git-ignored)</t>
        </is>
      </c>
    </row>
    <row r="113">
      <c r="A113" s="7" t="inlineStr">
        <is>
          <t>fus.seg.test.matched_targets_60</t>
        </is>
      </c>
      <c r="B113" s="7" t="inlineStr">
        <is>
          <t>Cohort, test segment: matched_targets_60</t>
        </is>
      </c>
      <c r="C113" s="7" t="n">
        <v>7690</v>
      </c>
      <c r="D113" s="7" t="inlineStr">
        <is>
          <t>targets</t>
        </is>
      </c>
      <c r="E113" s="7" t="inlineStr">
        <is>
          <t>fusion</t>
        </is>
      </c>
      <c r="F113" s="7" t="inlineStr">
        <is>
          <t>artifacts/experiments/gt-primary-2026-10-13-fusion/metrics.json</t>
        </is>
      </c>
      <c r="G113" s="7" t="inlineStr">
        <is>
          <t>/cohort/by_segment/test/matched_targets_60</t>
        </is>
      </c>
      <c r="H113" s="7" t="inlineStr">
        <is>
          <t>2026-10-13T08:02:25+00:00</t>
        </is>
      </c>
      <c r="I113" s="7" t="inlineStr">
        <is>
          <t>ec8d2e7aedb517e73fdb75284a8dea24bdb8de4b4f98257c6186d2cea56152d9</t>
        </is>
      </c>
      <c r="J113" s="7" t="inlineStr">
        <is>
          <t>protocol configs/experiments/gt-primary-2026-10-13-fusion.yaml (first commit b60d149 2026-10-13T13:32:50+05:30)</t>
        </is>
      </c>
      <c r="K113" s="7" t="inlineStr">
        <is>
          <t>local / reproducible-only (git-ignored)</t>
        </is>
      </c>
    </row>
    <row r="114">
      <c r="A114" s="7" t="inlineStr">
        <is>
          <t>fus.seg.test.distinct_new_onsets_60</t>
        </is>
      </c>
      <c r="B114" s="7" t="inlineStr">
        <is>
          <t>Cohort, test segment: distinct_new_onsets_60</t>
        </is>
      </c>
      <c r="C114" s="7" t="n">
        <v>64</v>
      </c>
      <c r="D114" s="7" t="inlineStr">
        <is>
          <t>onsets</t>
        </is>
      </c>
      <c r="E114" s="7" t="inlineStr">
        <is>
          <t>fusion</t>
        </is>
      </c>
      <c r="F114" s="7" t="inlineStr">
        <is>
          <t>artifacts/experiments/gt-primary-2026-10-13-fusion/metrics.json</t>
        </is>
      </c>
      <c r="G114" s="7" t="inlineStr">
        <is>
          <t>/cohort/by_segment/test/distinct_new_onsets_60</t>
        </is>
      </c>
      <c r="H114" s="7" t="inlineStr">
        <is>
          <t>2026-10-13T08:02:25+00:00</t>
        </is>
      </c>
      <c r="I114" s="7" t="inlineStr">
        <is>
          <t>ec8d2e7aedb517e73fdb75284a8dea24bdb8de4b4f98257c6186d2cea56152d9</t>
        </is>
      </c>
      <c r="J114" s="7" t="inlineStr">
        <is>
          <t>protocol configs/experiments/gt-primary-2026-10-13-fusion.yaml (first commit b60d149 2026-10-13T13:32:50+05:30)</t>
        </is>
      </c>
      <c r="K114" s="7" t="inlineStr">
        <is>
          <t>local / reproducible-only (git-ignored)</t>
        </is>
      </c>
    </row>
    <row r="115">
      <c r="A115" s="7" t="inlineStr">
        <is>
          <t>fus.participants</t>
        </is>
      </c>
      <c r="B115" s="7" t="inlineStr">
        <is>
          <t>Participants in the serving experiment (Type 2 group)</t>
        </is>
      </c>
      <c r="C115" s="7" t="n">
        <v>14</v>
      </c>
      <c r="D115" s="7" t="inlineStr">
        <is>
          <t>people</t>
        </is>
      </c>
      <c r="E115" s="7" t="inlineStr">
        <is>
          <t>fusion</t>
        </is>
      </c>
      <c r="F115" s="7" t="inlineStr">
        <is>
          <t>artifacts/experiments/gt-primary-2026-10-13-fusion/metrics.json</t>
        </is>
      </c>
      <c r="G115" s="7" t="inlineStr">
        <is>
          <t>/cohort/participants</t>
        </is>
      </c>
      <c r="H115" s="7" t="inlineStr">
        <is>
          <t>2026-10-13T08:02:25+00:00</t>
        </is>
      </c>
      <c r="I115" s="7" t="inlineStr">
        <is>
          <t>ec8d2e7aedb517e73fdb75284a8dea24bdb8de4b4f98257c6186d2cea56152d9</t>
        </is>
      </c>
      <c r="J115" s="7" t="inlineStr">
        <is>
          <t>protocol configs/experiments/gt-primary-2026-10-13-fusion.yaml (first commit b60d149 2026-10-13T13:32:50+05:30)</t>
        </is>
      </c>
      <c r="K115" s="7" t="inlineStr">
        <is>
          <t>local / reproducible-only (git-ignored)</t>
        </is>
      </c>
    </row>
    <row r="116">
      <c r="A116" s="7" t="inlineStr">
        <is>
          <t>fus.excluded</t>
        </is>
      </c>
      <c r="B116" s="7" t="inlineStr">
        <is>
          <t>CGMacros participants outside the Type 2 group (length of /excluded)</t>
        </is>
      </c>
      <c r="C116" s="7" t="n">
        <v>31</v>
      </c>
      <c r="D116" s="7" t="inlineStr">
        <is>
          <t>people</t>
        </is>
      </c>
      <c r="E116" s="7" t="inlineStr">
        <is>
          <t>fusion</t>
        </is>
      </c>
      <c r="F116" s="7" t="inlineStr">
        <is>
          <t>artifacts/experiments/gt-primary-2026-10-13-fusion/metrics.json</t>
        </is>
      </c>
      <c r="G116" s="7" t="inlineStr">
        <is>
          <t>/excluded</t>
        </is>
      </c>
      <c r="H116" s="7" t="inlineStr">
        <is>
          <t>2026-10-13T08:02:25+00:00</t>
        </is>
      </c>
      <c r="I116" s="7" t="inlineStr">
        <is>
          <t>ec8d2e7aedb517e73fdb75284a8dea24bdb8de4b4f98257c6186d2cea56152d9</t>
        </is>
      </c>
      <c r="J116" s="7" t="inlineStr">
        <is>
          <t>protocol configs/experiments/gt-primary-2026-10-13-fusion.yaml (first commit b60d149 2026-10-13T13:32:50+05:30)</t>
        </is>
      </c>
      <c r="K116" s="7" t="inlineStr">
        <is>
          <t>local / reproducible-only (git-ignored)</t>
        </is>
      </c>
    </row>
    <row r="117">
      <c r="A117" s="7" t="inlineStr">
        <is>
          <t>fus.sens.meal60</t>
        </is>
      </c>
      <c r="B117" s="7" t="inlineStr">
        <is>
          <t>Optimistic meal-logging sensitivity (not eligible for serving), test, 60 min</t>
        </is>
      </c>
      <c r="C117" s="8" t="n">
        <v>19.07306177468565</v>
      </c>
      <c r="D117" s="7" t="inlineStr">
        <is>
          <t>mg/dL</t>
        </is>
      </c>
      <c r="E117" s="7" t="inlineStr">
        <is>
          <t>fusion</t>
        </is>
      </c>
      <c r="F117" s="7" t="inlineStr">
        <is>
          <t>artifacts/experiments/gt-primary-2026-10-13-fusion/metrics.json</t>
        </is>
      </c>
      <c r="G117" s="7" t="inlineStr">
        <is>
          <t>/sensitivity[experiment=optimistic meal logging&amp;split=test&amp;horizon=60]/mae</t>
        </is>
      </c>
      <c r="H117" s="7" t="inlineStr">
        <is>
          <t>2026-10-13T08:02:25+00:00</t>
        </is>
      </c>
      <c r="I117" s="7" t="inlineStr">
        <is>
          <t>ec8d2e7aedb517e73fdb75284a8dea24bdb8de4b4f98257c6186d2cea56152d9</t>
        </is>
      </c>
      <c r="J117" s="7" t="inlineStr">
        <is>
          <t>protocol configs/experiments/gt-primary-2026-10-13-fusion.yaml (first commit b60d149 2026-10-13T13:32:50+05:30)</t>
        </is>
      </c>
      <c r="K117" s="7" t="inlineStr">
        <is>
          <t>local / reproducible-only (git-ignored)</t>
        </is>
      </c>
    </row>
    <row r="118">
      <c r="A118" s="7" t="inlineStr">
        <is>
          <t>fus.model_version</t>
        </is>
      </c>
      <c r="B118" s="7" t="inlineStr">
        <is>
          <t>Model version evaluated</t>
        </is>
      </c>
      <c r="C118" s="7" t="inlineStr">
        <is>
          <t>lightgbm.dyn-prof-v2.gt-primary-2026-10-13-fusion</t>
        </is>
      </c>
      <c r="D118" s="7" t="inlineStr">
        <is>
          <t>text</t>
        </is>
      </c>
      <c r="E118" s="7" t="inlineStr">
        <is>
          <t>fusion</t>
        </is>
      </c>
      <c r="F118" s="7" t="inlineStr">
        <is>
          <t>artifacts/experiments/gt-primary-2026-10-13-fusion/metrics.json</t>
        </is>
      </c>
      <c r="G118" s="7" t="inlineStr">
        <is>
          <t>/model_version</t>
        </is>
      </c>
      <c r="H118" s="7" t="inlineStr">
        <is>
          <t>2026-10-13T08:02:25+00:00</t>
        </is>
      </c>
      <c r="I118" s="7" t="inlineStr">
        <is>
          <t>ec8d2e7aedb517e73fdb75284a8dea24bdb8de4b4f98257c6186d2cea56152d9</t>
        </is>
      </c>
      <c r="J118" s="7" t="inlineStr">
        <is>
          <t>protocol configs/experiments/gt-primary-2026-10-13-fusion.yaml (first commit b60d149 2026-10-13T13:32:50+05:30)</t>
        </is>
      </c>
      <c r="K118" s="7" t="inlineStr">
        <is>
          <t>local / reproducible-only (git-ignored)</t>
        </is>
      </c>
    </row>
    <row r="119">
      <c r="A119" s="7" t="inlineStr">
        <is>
          <t>fus.created_at</t>
        </is>
      </c>
      <c r="B119" s="7" t="inlineStr">
        <is>
          <t>Experiment run time</t>
        </is>
      </c>
      <c r="C119" s="10" t="n">
        <v>46308.33501157408</v>
      </c>
      <c r="D119" s="7" t="inlineStr">
        <is>
          <t>UTC</t>
        </is>
      </c>
      <c r="E119" s="7" t="inlineStr">
        <is>
          <t>fusion</t>
        </is>
      </c>
      <c r="F119" s="7" t="inlineStr">
        <is>
          <t>artifacts/experiments/gt-primary-2026-10-13-fusion/metrics.json</t>
        </is>
      </c>
      <c r="G119" s="7" t="inlineStr">
        <is>
          <t>/created_at</t>
        </is>
      </c>
      <c r="H119" s="7" t="inlineStr">
        <is>
          <t>2026-10-13T08:02:25+00:00</t>
        </is>
      </c>
      <c r="I119" s="7" t="inlineStr">
        <is>
          <t>ec8d2e7aedb517e73fdb75284a8dea24bdb8de4b4f98257c6186d2cea56152d9</t>
        </is>
      </c>
      <c r="J119" s="7" t="inlineStr">
        <is>
          <t>protocol configs/experiments/gt-primary-2026-10-13-fusion.yaml (first commit b60d149 2026-10-13T13:32:50+05:30)</t>
        </is>
      </c>
      <c r="K119" s="7" t="inlineStr">
        <is>
          <t>local / reproducible-only (git-ignored)</t>
        </is>
      </c>
    </row>
    <row r="120">
      <c r="A120" s="7" t="inlineStr">
        <is>
          <t>fus.selection_rule</t>
        </is>
      </c>
      <c r="B120" s="7" t="inlineStr">
        <is>
          <t>Declared selection rule</t>
        </is>
      </c>
      <c r="C120" s="7" t="inlineStr">
        <is>
          <t>Lowest equal-weight mean of per-patient MAE across the 30- and 60-minute horizons on the validation-selection segment, population model without patient adaptation.</t>
        </is>
      </c>
      <c r="D120" s="7" t="inlineStr">
        <is>
          <t>text</t>
        </is>
      </c>
      <c r="E120" s="7" t="inlineStr">
        <is>
          <t>fusion</t>
        </is>
      </c>
      <c r="F120" s="7" t="inlineStr">
        <is>
          <t>artifacts/experiments/gt-primary-2026-10-13-fusion/metrics.json</t>
        </is>
      </c>
      <c r="G120" s="7" t="inlineStr">
        <is>
          <t>/selection/rule</t>
        </is>
      </c>
      <c r="H120" s="7" t="inlineStr">
        <is>
          <t>2026-10-13T08:02:25+00:00</t>
        </is>
      </c>
      <c r="I120" s="7" t="inlineStr">
        <is>
          <t>ec8d2e7aedb517e73fdb75284a8dea24bdb8de4b4f98257c6186d2cea56152d9</t>
        </is>
      </c>
      <c r="J120" s="7" t="inlineStr">
        <is>
          <t>protocol configs/experiments/gt-primary-2026-10-13-fusion.yaml (first commit b60d149 2026-10-13T13:32:50+05:30)</t>
        </is>
      </c>
      <c r="K120" s="7" t="inlineStr">
        <is>
          <t>local / reproducible-only (git-ignored)</t>
        </is>
      </c>
    </row>
    <row r="121">
      <c r="A121" s="7" t="inlineStr">
        <is>
          <t>fus.better30</t>
        </is>
      </c>
      <c r="B121" s="7" t="inlineStr">
        <is>
          <t>Serving test: participants with lower serving error than persistence, 30 min (derived count)</t>
        </is>
      </c>
      <c r="C121" s="7" t="n">
        <v>14</v>
      </c>
      <c r="D121" s="7" t="inlineStr">
        <is>
          <t>people</t>
        </is>
      </c>
      <c r="E121" s="7" t="inlineStr">
        <is>
          <t>fusion</t>
        </is>
      </c>
      <c r="F121" s="7" t="inlineStr">
        <is>
          <t>artifacts/experiments/gt-primary-2026-10-13-fusion/metrics.json</t>
        </is>
      </c>
      <c r="G121" s="7" t="inlineStr">
        <is>
          <t>/per_patient_test (count of people with serving MAE &lt; persistence MAE, 30 min)</t>
        </is>
      </c>
      <c r="H121" s="7" t="inlineStr">
        <is>
          <t>2026-10-13T08:02:25+00:00</t>
        </is>
      </c>
      <c r="I121" s="7" t="inlineStr">
        <is>
          <t>ec8d2e7aedb517e73fdb75284a8dea24bdb8de4b4f98257c6186d2cea56152d9</t>
        </is>
      </c>
      <c r="J121" s="7" t="inlineStr">
        <is>
          <t>protocol configs/experiments/gt-primary-2026-10-13-fusion.yaml (first commit b60d149 2026-10-13T13:32:50+05:30)</t>
        </is>
      </c>
      <c r="K121" s="7" t="inlineStr">
        <is>
          <t>local / reproducible-only (git-ignored)</t>
        </is>
      </c>
    </row>
    <row r="122">
      <c r="A122" s="7" t="inlineStr">
        <is>
          <t>fus.better60</t>
        </is>
      </c>
      <c r="B122" s="7" t="inlineStr">
        <is>
          <t>Serving test: participants with lower serving error than persistence, 60 min (derived count)</t>
        </is>
      </c>
      <c r="C122" s="7" t="n">
        <v>13</v>
      </c>
      <c r="D122" s="7" t="inlineStr">
        <is>
          <t>people</t>
        </is>
      </c>
      <c r="E122" s="7" t="inlineStr">
        <is>
          <t>fusion</t>
        </is>
      </c>
      <c r="F122" s="7" t="inlineStr">
        <is>
          <t>artifacts/experiments/gt-primary-2026-10-13-fusion/metrics.json</t>
        </is>
      </c>
      <c r="G122" s="7" t="inlineStr">
        <is>
          <t>/per_patient_test (count of people with serving MAE &lt; persistence MAE, 60 min)</t>
        </is>
      </c>
      <c r="H122" s="7" t="inlineStr">
        <is>
          <t>2026-10-13T08:02:25+00:00</t>
        </is>
      </c>
      <c r="I122" s="7" t="inlineStr">
        <is>
          <t>ec8d2e7aedb517e73fdb75284a8dea24bdb8de4b4f98257c6186d2cea56152d9</t>
        </is>
      </c>
      <c r="J122" s="7" t="inlineStr">
        <is>
          <t>protocol configs/experiments/gt-primary-2026-10-13-fusion.yaml (first commit b60d149 2026-10-13T13:32:50+05:30)</t>
        </is>
      </c>
      <c r="K122" s="7" t="inlineStr">
        <is>
          <t>local / reproducible-only (git-ignored)</t>
        </is>
      </c>
    </row>
    <row r="123">
      <c r="A123" s="7" t="inlineStr">
        <is>
          <t>wu.onsets</t>
        </is>
      </c>
      <c r="B123" s="7" t="inlineStr">
        <is>
          <t>Serving 60-min warning, final test: eligible onsets (denominator of every notice share)</t>
        </is>
      </c>
      <c r="C123" s="7" t="n">
        <v>64</v>
      </c>
      <c r="D123" s="7" t="inlineStr">
        <is>
          <t>onsets</t>
        </is>
      </c>
      <c r="E123" s="7" t="inlineStr">
        <is>
          <t>fusion_pred</t>
        </is>
      </c>
      <c r="F123" s="7" t="inlineStr">
        <is>
          <t>artifacts/experiments/gt-primary-2026-10-13-fusion/predictions.parquet</t>
        </is>
      </c>
      <c r="G123" s="7" t="inlineStr">
        <is>
          <t>scripts/warning_utility.py demo row (WT.demo, key=demo) → onsets</t>
        </is>
      </c>
      <c r="H123" s="7" t="inlineStr">
        <is>
          <t>2026-10-13T08:02:25+00:00 (file time)</t>
        </is>
      </c>
      <c r="I123" s="7" t="inlineStr">
        <is>
          <t>1a5a7164fd8d17f36a4248a5a9f30f2dfee53b30b010ca62fab30df8c77b1778</t>
        </is>
      </c>
      <c r="J123" s="7" t="inlineStr">
        <is>
          <t>protocol configs/experiments/gt-primary-2026-10-13-fusion.yaml (first commit b60d149 2026-10-13T13:32:50+05:30)</t>
        </is>
      </c>
      <c r="K123" s="7" t="inlineStr">
        <is>
          <t>local / reproducible-only (git-ignored)</t>
        </is>
      </c>
    </row>
    <row r="124">
      <c r="A124" s="7" t="inlineStr">
        <is>
          <t>wu.detected</t>
        </is>
      </c>
      <c r="B124" s="7" t="inlineStr">
        <is>
          <t>Serving 60-min warning, final test: detected onsets</t>
        </is>
      </c>
      <c r="C124" s="7" t="n">
        <v>61</v>
      </c>
      <c r="D124" s="7" t="inlineStr">
        <is>
          <t>onsets</t>
        </is>
      </c>
      <c r="E124" s="7" t="inlineStr">
        <is>
          <t>fusion_pred</t>
        </is>
      </c>
      <c r="F124" s="7" t="inlineStr">
        <is>
          <t>artifacts/experiments/gt-primary-2026-10-13-fusion/predictions.parquet</t>
        </is>
      </c>
      <c r="G124" s="7" t="inlineStr">
        <is>
          <t>scripts/warning_utility.py demo row (WT.demo, key=demo) → detected</t>
        </is>
      </c>
      <c r="H124" s="7" t="inlineStr">
        <is>
          <t>2026-10-13T08:02:25+00:00 (file time)</t>
        </is>
      </c>
      <c r="I124" s="7" t="inlineStr">
        <is>
          <t>1a5a7164fd8d17f36a4248a5a9f30f2dfee53b30b010ca62fab30df8c77b1778</t>
        </is>
      </c>
      <c r="J124" s="7" t="inlineStr">
        <is>
          <t>protocol configs/experiments/gt-primary-2026-10-13-fusion.yaml (first commit b60d149 2026-10-13T13:32:50+05:30)</t>
        </is>
      </c>
      <c r="K124" s="7" t="inlineStr">
        <is>
          <t>local / reproducible-only (git-ignored)</t>
        </is>
      </c>
    </row>
    <row r="125">
      <c r="A125" s="7" t="inlineStr">
        <is>
          <t>wu.ge15</t>
        </is>
      </c>
      <c r="B125" s="7" t="inlineStr">
        <is>
          <t>Serving 60-min warning, final test: onsets warned ≥ 15 min ahead (qualified lead)</t>
        </is>
      </c>
      <c r="C125" s="7" t="n">
        <v>43</v>
      </c>
      <c r="D125" s="7" t="inlineStr">
        <is>
          <t>onsets</t>
        </is>
      </c>
      <c r="E125" s="7" t="inlineStr">
        <is>
          <t>fusion_pred</t>
        </is>
      </c>
      <c r="F125" s="7" t="inlineStr">
        <is>
          <t>artifacts/experiments/gt-primary-2026-10-13-fusion/predictions.parquet</t>
        </is>
      </c>
      <c r="G125" s="7" t="inlineStr">
        <is>
          <t>scripts/warning_utility.py demo row (WT.demo, key=demo) → ge15</t>
        </is>
      </c>
      <c r="H125" s="7" t="inlineStr">
        <is>
          <t>2026-10-13T08:02:25+00:00 (file time)</t>
        </is>
      </c>
      <c r="I125" s="7" t="inlineStr">
        <is>
          <t>1a5a7164fd8d17f36a4248a5a9f30f2dfee53b30b010ca62fab30df8c77b1778</t>
        </is>
      </c>
      <c r="J125" s="7" t="inlineStr">
        <is>
          <t>protocol configs/experiments/gt-primary-2026-10-13-fusion.yaml (first commit b60d149 2026-10-13T13:32:50+05:30)</t>
        </is>
      </c>
      <c r="K125" s="7" t="inlineStr">
        <is>
          <t>local / reproducible-only (git-ignored)</t>
        </is>
      </c>
    </row>
    <row r="126">
      <c r="A126" s="7" t="inlineStr">
        <is>
          <t>wu.ge30</t>
        </is>
      </c>
      <c r="B126" s="7" t="inlineStr">
        <is>
          <t>Serving 60-min warning, final test: onsets warned ≥ 30 min ahead (qualified lead)</t>
        </is>
      </c>
      <c r="C126" s="7" t="n">
        <v>31</v>
      </c>
      <c r="D126" s="7" t="inlineStr">
        <is>
          <t>onsets</t>
        </is>
      </c>
      <c r="E126" s="7" t="inlineStr">
        <is>
          <t>fusion_pred</t>
        </is>
      </c>
      <c r="F126" s="7" t="inlineStr">
        <is>
          <t>artifacts/experiments/gt-primary-2026-10-13-fusion/predictions.parquet</t>
        </is>
      </c>
      <c r="G126" s="7" t="inlineStr">
        <is>
          <t>scripts/warning_utility.py demo row (WT.demo, key=demo) → ge30</t>
        </is>
      </c>
      <c r="H126" s="7" t="inlineStr">
        <is>
          <t>2026-10-13T08:02:25+00:00 (file time)</t>
        </is>
      </c>
      <c r="I126" s="7" t="inlineStr">
        <is>
          <t>1a5a7164fd8d17f36a4248a5a9f30f2dfee53b30b010ca62fab30df8c77b1778</t>
        </is>
      </c>
      <c r="J126" s="7" t="inlineStr">
        <is>
          <t>protocol configs/experiments/gt-primary-2026-10-13-fusion.yaml (first commit b60d149 2026-10-13T13:32:50+05:30)</t>
        </is>
      </c>
      <c r="K126" s="7" t="inlineStr">
        <is>
          <t>local / reproducible-only (git-ignored)</t>
        </is>
      </c>
    </row>
    <row r="127">
      <c r="A127" s="7" t="inlineStr">
        <is>
          <t>wu.ge60</t>
        </is>
      </c>
      <c r="B127" s="7" t="inlineStr">
        <is>
          <t>Serving 60-min warning, final test: onsets warned ≥ 60 min ahead (qualified lead)</t>
        </is>
      </c>
      <c r="C127" s="7" t="n">
        <v>13</v>
      </c>
      <c r="D127" s="7" t="inlineStr">
        <is>
          <t>onsets</t>
        </is>
      </c>
      <c r="E127" s="7" t="inlineStr">
        <is>
          <t>fusion_pred</t>
        </is>
      </c>
      <c r="F127" s="7" t="inlineStr">
        <is>
          <t>artifacts/experiments/gt-primary-2026-10-13-fusion/predictions.parquet</t>
        </is>
      </c>
      <c r="G127" s="7" t="inlineStr">
        <is>
          <t>scripts/warning_utility.py demo row (WT.demo, key=demo) → ge60</t>
        </is>
      </c>
      <c r="H127" s="7" t="inlineStr">
        <is>
          <t>2026-10-13T08:02:25+00:00 (file time)</t>
        </is>
      </c>
      <c r="I127" s="7" t="inlineStr">
        <is>
          <t>1a5a7164fd8d17f36a4248a5a9f30f2dfee53b30b010ca62fab30df8c77b1778</t>
        </is>
      </c>
      <c r="J127" s="7" t="inlineStr">
        <is>
          <t>protocol configs/experiments/gt-primary-2026-10-13-fusion.yaml (first commit b60d149 2026-10-13T13:32:50+05:30)</t>
        </is>
      </c>
      <c r="K127" s="7" t="inlineStr">
        <is>
          <t>local / reproducible-only (git-ignored)</t>
        </is>
      </c>
    </row>
    <row r="128">
      <c r="A128" s="7" t="inlineStr">
        <is>
          <t>wu.firing</t>
        </is>
      </c>
      <c r="B128" s="7" t="inlineStr">
        <is>
          <t>Serving 60-min warning, final test: eligible origins at which the warning was active</t>
        </is>
      </c>
      <c r="C128" s="7" t="n">
        <v>596</v>
      </c>
      <c r="D128" s="7" t="inlineStr">
        <is>
          <t>origins</t>
        </is>
      </c>
      <c r="E128" s="7" t="inlineStr">
        <is>
          <t>fusion_pred</t>
        </is>
      </c>
      <c r="F128" s="7" t="inlineStr">
        <is>
          <t>artifacts/experiments/gt-primary-2026-10-13-fusion/predictions.parquet</t>
        </is>
      </c>
      <c r="G128" s="7" t="inlineStr">
        <is>
          <t>scripts/warning_utility.py demo row (WT.demo, key=demo) → firing</t>
        </is>
      </c>
      <c r="H128" s="7" t="inlineStr">
        <is>
          <t>2026-10-13T08:02:25+00:00 (file time)</t>
        </is>
      </c>
      <c r="I128" s="7" t="inlineStr">
        <is>
          <t>1a5a7164fd8d17f36a4248a5a9f30f2dfee53b30b010ca62fab30df8c77b1778</t>
        </is>
      </c>
      <c r="J128" s="7" t="inlineStr">
        <is>
          <t>protocol configs/experiments/gt-primary-2026-10-13-fusion.yaml (first commit b60d149 2026-10-13T13:32:50+05:30)</t>
        </is>
      </c>
      <c r="K128" s="7" t="inlineStr">
        <is>
          <t>local / reproducible-only (git-ignored)</t>
        </is>
      </c>
    </row>
    <row r="129">
      <c r="A129" s="7" t="inlineStr">
        <is>
          <t>wu.eligible</t>
        </is>
      </c>
      <c r="B129" s="7" t="inlineStr">
        <is>
          <t>Serving 60-min warning, final test: eligible origins (time-in-warning denominator)</t>
        </is>
      </c>
      <c r="C129" s="7" t="n">
        <v>5042</v>
      </c>
      <c r="D129" s="7" t="inlineStr">
        <is>
          <t>origins</t>
        </is>
      </c>
      <c r="E129" s="7" t="inlineStr">
        <is>
          <t>fusion_pred</t>
        </is>
      </c>
      <c r="F129" s="7" t="inlineStr">
        <is>
          <t>artifacts/experiments/gt-primary-2026-10-13-fusion/predictions.parquet</t>
        </is>
      </c>
      <c r="G129" s="7" t="inlineStr">
        <is>
          <t>scripts/warning_utility.py demo row (WT.demo, key=demo) → eligible</t>
        </is>
      </c>
      <c r="H129" s="7" t="inlineStr">
        <is>
          <t>2026-10-13T08:02:25+00:00 (file time)</t>
        </is>
      </c>
      <c r="I129" s="7" t="inlineStr">
        <is>
          <t>1a5a7164fd8d17f36a4248a5a9f30f2dfee53b30b010ca62fab30df8c77b1778</t>
        </is>
      </c>
      <c r="J129" s="7" t="inlineStr">
        <is>
          <t>protocol configs/experiments/gt-primary-2026-10-13-fusion.yaml (first commit b60d149 2026-10-13T13:32:50+05:30)</t>
        </is>
      </c>
      <c r="K129" s="7" t="inlineStr">
        <is>
          <t>local / reproducible-only (git-ignored)</t>
        </is>
      </c>
    </row>
    <row r="130">
      <c r="A130" s="7" t="inlineStr">
        <is>
          <t>wu.share_eligible</t>
        </is>
      </c>
      <c r="B130" s="7" t="inlineStr">
        <is>
          <t>Serving 60-min warning, final test: share of eligible origins in warning</t>
        </is>
      </c>
      <c r="C130" s="8" t="n">
        <v>0.1182070606902023</v>
      </c>
      <c r="D130" s="7" t="inlineStr">
        <is>
          <t>share</t>
        </is>
      </c>
      <c r="E130" s="7" t="inlineStr">
        <is>
          <t>fusion_pred</t>
        </is>
      </c>
      <c r="F130" s="7" t="inlineStr">
        <is>
          <t>artifacts/experiments/gt-primary-2026-10-13-fusion/predictions.parquet</t>
        </is>
      </c>
      <c r="G130" s="7" t="inlineStr">
        <is>
          <t>scripts/warning_utility.py demo row (WT.demo, key=demo) → share_eligible</t>
        </is>
      </c>
      <c r="H130" s="7" t="inlineStr">
        <is>
          <t>2026-10-13T08:02:25+00:00 (file time)</t>
        </is>
      </c>
      <c r="I130" s="7" t="inlineStr">
        <is>
          <t>1a5a7164fd8d17f36a4248a5a9f30f2dfee53b30b010ca62fab30df8c77b1778</t>
        </is>
      </c>
      <c r="J130" s="7" t="inlineStr">
        <is>
          <t>protocol configs/experiments/gt-primary-2026-10-13-fusion.yaml (first commit b60d149 2026-10-13T13:32:50+05:30)</t>
        </is>
      </c>
      <c r="K130" s="7" t="inlineStr">
        <is>
          <t>local / reproducible-only (git-ignored)</t>
        </is>
      </c>
    </row>
    <row r="131">
      <c r="A131" s="7" t="inlineStr">
        <is>
          <t>wu.lead_median</t>
        </is>
      </c>
      <c r="B131" s="7" t="inlineStr">
        <is>
          <t>Serving 60-min warning, final test: median qualified lead (detected onsets)</t>
        </is>
      </c>
      <c r="C131" s="8" t="n">
        <v>30</v>
      </c>
      <c r="D131" s="7" t="inlineStr">
        <is>
          <t>min</t>
        </is>
      </c>
      <c r="E131" s="7" t="inlineStr">
        <is>
          <t>fusion_pred</t>
        </is>
      </c>
      <c r="F131" s="7" t="inlineStr">
        <is>
          <t>artifacts/experiments/gt-primary-2026-10-13-fusion/predictions.parquet</t>
        </is>
      </c>
      <c r="G131" s="7" t="inlineStr">
        <is>
          <t>scripts/warning_utility.py demo row (WT.demo, key=demo) → lead_median</t>
        </is>
      </c>
      <c r="H131" s="7" t="inlineStr">
        <is>
          <t>2026-10-13T08:02:25+00:00 (file time)</t>
        </is>
      </c>
      <c r="I131" s="7" t="inlineStr">
        <is>
          <t>1a5a7164fd8d17f36a4248a5a9f30f2dfee53b30b010ca62fab30df8c77b1778</t>
        </is>
      </c>
      <c r="J131" s="7" t="inlineStr">
        <is>
          <t>protocol configs/experiments/gt-primary-2026-10-13-fusion.yaml (first commit b60d149 2026-10-13T13:32:50+05:30)</t>
        </is>
      </c>
      <c r="K131" s="7" t="inlineStr">
        <is>
          <t>local / reproducible-only (git-ignored)</t>
        </is>
      </c>
    </row>
    <row r="132">
      <c r="A132" s="7" t="inlineStr">
        <is>
          <t>wu.n_leads</t>
        </is>
      </c>
      <c r="B132" s="7" t="inlineStr">
        <is>
          <t>Serving 60-min warning, final test: number of qualified leads (detected onsets)</t>
        </is>
      </c>
      <c r="C132" s="7" t="n">
        <v>61</v>
      </c>
      <c r="D132" s="7" t="inlineStr">
        <is>
          <t>onsets</t>
        </is>
      </c>
      <c r="E132" s="7" t="inlineStr">
        <is>
          <t>fusion_pred</t>
        </is>
      </c>
      <c r="F132" s="7" t="inlineStr">
        <is>
          <t>artifacts/experiments/gt-primary-2026-10-13-fusion/predictions.parquet</t>
        </is>
      </c>
      <c r="G132" s="7" t="inlineStr">
        <is>
          <t>scripts/warning_utility.py demo row (WT.demo, key=demo) → n_leads</t>
        </is>
      </c>
      <c r="H132" s="7" t="inlineStr">
        <is>
          <t>2026-10-13T08:02:25+00:00 (file time)</t>
        </is>
      </c>
      <c r="I132" s="7" t="inlineStr">
        <is>
          <t>1a5a7164fd8d17f36a4248a5a9f30f2dfee53b30b010ca62fab30df8c77b1778</t>
        </is>
      </c>
      <c r="J132" s="7" t="inlineStr">
        <is>
          <t>protocol configs/experiments/gt-primary-2026-10-13-fusion.yaml (first commit b60d149 2026-10-13T13:32:50+05:30)</t>
        </is>
      </c>
      <c r="K132" s="7" t="inlineStr">
        <is>
          <t>local / reproducible-only (git-ignored)</t>
        </is>
      </c>
    </row>
    <row r="133">
      <c r="A133" s="7" t="inlineStr">
        <is>
          <t>wu.lead_q25</t>
        </is>
      </c>
      <c r="B133" s="7" t="inlineStr">
        <is>
          <t>Serving 60-min warning, final test: qualified lead 25th percentile</t>
        </is>
      </c>
      <c r="C133" s="8" t="n">
        <v>10</v>
      </c>
      <c r="D133" s="7" t="inlineStr">
        <is>
          <t>min</t>
        </is>
      </c>
      <c r="E133" s="7" t="inlineStr">
        <is>
          <t>fusion_pred</t>
        </is>
      </c>
      <c r="F133" s="7" t="inlineStr">
        <is>
          <t>artifacts/experiments/gt-primary-2026-10-13-fusion/predictions.parquet</t>
        </is>
      </c>
      <c r="G133" s="7" t="inlineStr">
        <is>
          <t>scripts/warning_utility.py demo row (WT.demo, key=demo) → lead_q25</t>
        </is>
      </c>
      <c r="H133" s="7" t="inlineStr">
        <is>
          <t>2026-10-13T08:02:25+00:00 (file time)</t>
        </is>
      </c>
      <c r="I133" s="7" t="inlineStr">
        <is>
          <t>1a5a7164fd8d17f36a4248a5a9f30f2dfee53b30b010ca62fab30df8c77b1778</t>
        </is>
      </c>
      <c r="J133" s="7" t="inlineStr">
        <is>
          <t>protocol configs/experiments/gt-primary-2026-10-13-fusion.yaml (first commit b60d149 2026-10-13T13:32:50+05:30)</t>
        </is>
      </c>
      <c r="K133" s="7" t="inlineStr">
        <is>
          <t>local / reproducible-only (git-ignored)</t>
        </is>
      </c>
    </row>
    <row r="134">
      <c r="A134" s="7" t="inlineStr">
        <is>
          <t>wu.lead_q75</t>
        </is>
      </c>
      <c r="B134" s="7" t="inlineStr">
        <is>
          <t>Serving 60-min warning, final test: qualified lead 75th percentile</t>
        </is>
      </c>
      <c r="C134" s="8" t="n">
        <v>55</v>
      </c>
      <c r="D134" s="7" t="inlineStr">
        <is>
          <t>min</t>
        </is>
      </c>
      <c r="E134" s="7" t="inlineStr">
        <is>
          <t>fusion_pred</t>
        </is>
      </c>
      <c r="F134" s="7" t="inlineStr">
        <is>
          <t>artifacts/experiments/gt-primary-2026-10-13-fusion/predictions.parquet</t>
        </is>
      </c>
      <c r="G134" s="7" t="inlineStr">
        <is>
          <t>scripts/warning_utility.py demo row (WT.demo, key=demo) → lead_q75</t>
        </is>
      </c>
      <c r="H134" s="7" t="inlineStr">
        <is>
          <t>2026-10-13T08:02:25+00:00 (file time)</t>
        </is>
      </c>
      <c r="I134" s="7" t="inlineStr">
        <is>
          <t>1a5a7164fd8d17f36a4248a5a9f30f2dfee53b30b010ca62fab30df8c77b1778</t>
        </is>
      </c>
      <c r="J134" s="7" t="inlineStr">
        <is>
          <t>protocol configs/experiments/gt-primary-2026-10-13-fusion.yaml (first commit b60d149 2026-10-13T13:32:50+05:30)</t>
        </is>
      </c>
      <c r="K134" s="7" t="inlineStr">
        <is>
          <t>local / reproducible-only (git-ignored)</t>
        </is>
      </c>
    </row>
    <row r="135">
      <c r="A135" s="7" t="inlineStr">
        <is>
          <t>tr.all.mae30</t>
        </is>
      </c>
      <c r="B135" s="7" t="inlineStr">
        <is>
          <t>Validation segment, all, 30 min: macro MAE</t>
        </is>
      </c>
      <c r="C135" s="8" t="n">
        <v>13.35851618637204</v>
      </c>
      <c r="D135" s="7" t="inlineStr">
        <is>
          <t>mg/dL</t>
        </is>
      </c>
      <c r="E135" s="7" t="inlineStr">
        <is>
          <t>trend</t>
        </is>
      </c>
      <c r="F135" s="7" t="inlineStr">
        <is>
          <t>artifacts/experiments/gt-primary-2026-10-13-fusion/error_by_trend.json</t>
        </is>
      </c>
      <c r="G135" s="7" t="inlineStr">
        <is>
          <t>/rows[horizon=30&amp;trend=all]/mae_macro</t>
        </is>
      </c>
      <c r="H135" s="7" t="inlineStr">
        <is>
          <t>2026-10-20T17:41:13+00:00</t>
        </is>
      </c>
      <c r="I135" s="7" t="inlineStr">
        <is>
          <t>5c9d1104dee3a8b8b5e94771c2e92b94f16465cb19ceacc791d6db065a976c24</t>
        </is>
      </c>
      <c r="J135" s="7" t="inlineStr">
        <is>
          <t>scripts/error_by_trend.py</t>
        </is>
      </c>
      <c r="K135" s="7" t="inlineStr">
        <is>
          <t>local / reproducible-only (git-ignored)</t>
        </is>
      </c>
    </row>
    <row r="136">
      <c r="A136" s="7" t="inlineStr">
        <is>
          <t>tr.all.cov30</t>
        </is>
      </c>
      <c r="B136" s="7" t="inlineStr">
        <is>
          <t>Validation segment, all, 30 min: served range coverage</t>
        </is>
      </c>
      <c r="C136" s="8" t="n">
        <v>0.7272968667020712</v>
      </c>
      <c r="D136" s="7" t="inlineStr">
        <is>
          <t>share</t>
        </is>
      </c>
      <c r="E136" s="7" t="inlineStr">
        <is>
          <t>trend</t>
        </is>
      </c>
      <c r="F136" s="7" t="inlineStr">
        <is>
          <t>artifacts/experiments/gt-primary-2026-10-13-fusion/error_by_trend.json</t>
        </is>
      </c>
      <c r="G136" s="7" t="inlineStr">
        <is>
          <t>/rows[horizon=30&amp;trend=all]/range_coverage</t>
        </is>
      </c>
      <c r="H136" s="7" t="inlineStr">
        <is>
          <t>2026-10-20T17:41:13+00:00</t>
        </is>
      </c>
      <c r="I136" s="7" t="inlineStr">
        <is>
          <t>5c9d1104dee3a8b8b5e94771c2e92b94f16465cb19ceacc791d6db065a976c24</t>
        </is>
      </c>
      <c r="J136" s="7" t="inlineStr">
        <is>
          <t>scripts/error_by_trend.py</t>
        </is>
      </c>
      <c r="K136" s="7" t="inlineStr">
        <is>
          <t>local / reproducible-only (git-ignored)</t>
        </is>
      </c>
    </row>
    <row r="137">
      <c r="A137" s="7" t="inlineStr">
        <is>
          <t>tr.all.n30</t>
        </is>
      </c>
      <c r="B137" s="7" t="inlineStr">
        <is>
          <t>Validation segment, all, 30 min: origins</t>
        </is>
      </c>
      <c r="C137" s="7" t="n">
        <v>3766</v>
      </c>
      <c r="D137" s="7" t="inlineStr">
        <is>
          <t>origins</t>
        </is>
      </c>
      <c r="E137" s="7" t="inlineStr">
        <is>
          <t>trend</t>
        </is>
      </c>
      <c r="F137" s="7" t="inlineStr">
        <is>
          <t>artifacts/experiments/gt-primary-2026-10-13-fusion/error_by_trend.json</t>
        </is>
      </c>
      <c r="G137" s="7" t="inlineStr">
        <is>
          <t>/rows[horizon=30&amp;trend=all]/origins</t>
        </is>
      </c>
      <c r="H137" s="7" t="inlineStr">
        <is>
          <t>2026-10-20T17:41:13+00:00</t>
        </is>
      </c>
      <c r="I137" s="7" t="inlineStr">
        <is>
          <t>5c9d1104dee3a8b8b5e94771c2e92b94f16465cb19ceacc791d6db065a976c24</t>
        </is>
      </c>
      <c r="J137" s="7" t="inlineStr">
        <is>
          <t>scripts/error_by_trend.py</t>
        </is>
      </c>
      <c r="K137" s="7" t="inlineStr">
        <is>
          <t>local / reproducible-only (git-ignored)</t>
        </is>
      </c>
    </row>
    <row r="138">
      <c r="A138" s="7" t="inlineStr">
        <is>
          <t>tr.falling_fast.mae30</t>
        </is>
      </c>
      <c r="B138" s="7" t="inlineStr">
        <is>
          <t>Validation segment, falling_fast, 30 min: macro MAE</t>
        </is>
      </c>
      <c r="C138" s="8" t="n">
        <v>18.78314409166092</v>
      </c>
      <c r="D138" s="7" t="inlineStr">
        <is>
          <t>mg/dL</t>
        </is>
      </c>
      <c r="E138" s="7" t="inlineStr">
        <is>
          <t>trend</t>
        </is>
      </c>
      <c r="F138" s="7" t="inlineStr">
        <is>
          <t>artifacts/experiments/gt-primary-2026-10-13-fusion/error_by_trend.json</t>
        </is>
      </c>
      <c r="G138" s="7" t="inlineStr">
        <is>
          <t>/rows[horizon=30&amp;trend=falling_fast]/mae_macro</t>
        </is>
      </c>
      <c r="H138" s="7" t="inlineStr">
        <is>
          <t>2026-10-20T17:41:13+00:00</t>
        </is>
      </c>
      <c r="I138" s="7" t="inlineStr">
        <is>
          <t>5c9d1104dee3a8b8b5e94771c2e92b94f16465cb19ceacc791d6db065a976c24</t>
        </is>
      </c>
      <c r="J138" s="7" t="inlineStr">
        <is>
          <t>scripts/error_by_trend.py</t>
        </is>
      </c>
      <c r="K138" s="7" t="inlineStr">
        <is>
          <t>local / reproducible-only (git-ignored)</t>
        </is>
      </c>
    </row>
    <row r="139">
      <c r="A139" s="7" t="inlineStr">
        <is>
          <t>tr.falling_fast.cov30</t>
        </is>
      </c>
      <c r="B139" s="7" t="inlineStr">
        <is>
          <t>Validation segment, falling_fast, 30 min: served range coverage</t>
        </is>
      </c>
      <c r="C139" s="8" t="n">
        <v>0.52</v>
      </c>
      <c r="D139" s="7" t="inlineStr">
        <is>
          <t>share</t>
        </is>
      </c>
      <c r="E139" s="7" t="inlineStr">
        <is>
          <t>trend</t>
        </is>
      </c>
      <c r="F139" s="7" t="inlineStr">
        <is>
          <t>artifacts/experiments/gt-primary-2026-10-13-fusion/error_by_trend.json</t>
        </is>
      </c>
      <c r="G139" s="7" t="inlineStr">
        <is>
          <t>/rows[horizon=30&amp;trend=falling_fast]/range_coverage</t>
        </is>
      </c>
      <c r="H139" s="7" t="inlineStr">
        <is>
          <t>2026-10-20T17:41:13+00:00</t>
        </is>
      </c>
      <c r="I139" s="7" t="inlineStr">
        <is>
          <t>5c9d1104dee3a8b8b5e94771c2e92b94f16465cb19ceacc791d6db065a976c24</t>
        </is>
      </c>
      <c r="J139" s="7" t="inlineStr">
        <is>
          <t>scripts/error_by_trend.py</t>
        </is>
      </c>
      <c r="K139" s="7" t="inlineStr">
        <is>
          <t>local / reproducible-only (git-ignored)</t>
        </is>
      </c>
    </row>
    <row r="140">
      <c r="A140" s="7" t="inlineStr">
        <is>
          <t>tr.falling_fast.n30</t>
        </is>
      </c>
      <c r="B140" s="7" t="inlineStr">
        <is>
          <t>Validation segment, falling_fast, 30 min: origins</t>
        </is>
      </c>
      <c r="C140" s="7" t="n">
        <v>100</v>
      </c>
      <c r="D140" s="7" t="inlineStr">
        <is>
          <t>origins</t>
        </is>
      </c>
      <c r="E140" s="7" t="inlineStr">
        <is>
          <t>trend</t>
        </is>
      </c>
      <c r="F140" s="7" t="inlineStr">
        <is>
          <t>artifacts/experiments/gt-primary-2026-10-13-fusion/error_by_trend.json</t>
        </is>
      </c>
      <c r="G140" s="7" t="inlineStr">
        <is>
          <t>/rows[horizon=30&amp;trend=falling_fast]/origins</t>
        </is>
      </c>
      <c r="H140" s="7" t="inlineStr">
        <is>
          <t>2026-10-20T17:41:13+00:00</t>
        </is>
      </c>
      <c r="I140" s="7" t="inlineStr">
        <is>
          <t>5c9d1104dee3a8b8b5e94771c2e92b94f16465cb19ceacc791d6db065a976c24</t>
        </is>
      </c>
      <c r="J140" s="7" t="inlineStr">
        <is>
          <t>scripts/error_by_trend.py</t>
        </is>
      </c>
      <c r="K140" s="7" t="inlineStr">
        <is>
          <t>local / reproducible-only (git-ignored)</t>
        </is>
      </c>
    </row>
    <row r="141">
      <c r="A141" s="7" t="inlineStr">
        <is>
          <t>tr.falling.mae30</t>
        </is>
      </c>
      <c r="B141" s="7" t="inlineStr">
        <is>
          <t>Validation segment, falling, 30 min: macro MAE</t>
        </is>
      </c>
      <c r="C141" s="8" t="n">
        <v>15.28949203531461</v>
      </c>
      <c r="D141" s="7" t="inlineStr">
        <is>
          <t>mg/dL</t>
        </is>
      </c>
      <c r="E141" s="7" t="inlineStr">
        <is>
          <t>trend</t>
        </is>
      </c>
      <c r="F141" s="7" t="inlineStr">
        <is>
          <t>artifacts/experiments/gt-primary-2026-10-13-fusion/error_by_trend.json</t>
        </is>
      </c>
      <c r="G141" s="7" t="inlineStr">
        <is>
          <t>/rows[horizon=30&amp;trend=falling]/mae_macro</t>
        </is>
      </c>
      <c r="H141" s="7" t="inlineStr">
        <is>
          <t>2026-10-20T17:41:13+00:00</t>
        </is>
      </c>
      <c r="I141" s="7" t="inlineStr">
        <is>
          <t>5c9d1104dee3a8b8b5e94771c2e92b94f16465cb19ceacc791d6db065a976c24</t>
        </is>
      </c>
      <c r="J141" s="7" t="inlineStr">
        <is>
          <t>scripts/error_by_trend.py</t>
        </is>
      </c>
      <c r="K141" s="7" t="inlineStr">
        <is>
          <t>local / reproducible-only (git-ignored)</t>
        </is>
      </c>
    </row>
    <row r="142">
      <c r="A142" s="7" t="inlineStr">
        <is>
          <t>tr.falling.cov30</t>
        </is>
      </c>
      <c r="B142" s="7" t="inlineStr">
        <is>
          <t>Validation segment, falling, 30 min: served range coverage</t>
        </is>
      </c>
      <c r="C142" s="8" t="n">
        <v>0.6445783132530121</v>
      </c>
      <c r="D142" s="7" t="inlineStr">
        <is>
          <t>share</t>
        </is>
      </c>
      <c r="E142" s="7" t="inlineStr">
        <is>
          <t>trend</t>
        </is>
      </c>
      <c r="F142" s="7" t="inlineStr">
        <is>
          <t>artifacts/experiments/gt-primary-2026-10-13-fusion/error_by_trend.json</t>
        </is>
      </c>
      <c r="G142" s="7" t="inlineStr">
        <is>
          <t>/rows[horizon=30&amp;trend=falling]/range_coverage</t>
        </is>
      </c>
      <c r="H142" s="7" t="inlineStr">
        <is>
          <t>2026-10-20T17:41:13+00:00</t>
        </is>
      </c>
      <c r="I142" s="7" t="inlineStr">
        <is>
          <t>5c9d1104dee3a8b8b5e94771c2e92b94f16465cb19ceacc791d6db065a976c24</t>
        </is>
      </c>
      <c r="J142" s="7" t="inlineStr">
        <is>
          <t>scripts/error_by_trend.py</t>
        </is>
      </c>
      <c r="K142" s="7" t="inlineStr">
        <is>
          <t>local / reproducible-only (git-ignored)</t>
        </is>
      </c>
    </row>
    <row r="143">
      <c r="A143" s="7" t="inlineStr">
        <is>
          <t>tr.falling.n30</t>
        </is>
      </c>
      <c r="B143" s="7" t="inlineStr">
        <is>
          <t>Validation segment, falling, 30 min: origins</t>
        </is>
      </c>
      <c r="C143" s="7" t="n">
        <v>332</v>
      </c>
      <c r="D143" s="7" t="inlineStr">
        <is>
          <t>origins</t>
        </is>
      </c>
      <c r="E143" s="7" t="inlineStr">
        <is>
          <t>trend</t>
        </is>
      </c>
      <c r="F143" s="7" t="inlineStr">
        <is>
          <t>artifacts/experiments/gt-primary-2026-10-13-fusion/error_by_trend.json</t>
        </is>
      </c>
      <c r="G143" s="7" t="inlineStr">
        <is>
          <t>/rows[horizon=30&amp;trend=falling]/origins</t>
        </is>
      </c>
      <c r="H143" s="7" t="inlineStr">
        <is>
          <t>2026-10-20T17:41:13+00:00</t>
        </is>
      </c>
      <c r="I143" s="7" t="inlineStr">
        <is>
          <t>5c9d1104dee3a8b8b5e94771c2e92b94f16465cb19ceacc791d6db065a976c24</t>
        </is>
      </c>
      <c r="J143" s="7" t="inlineStr">
        <is>
          <t>scripts/error_by_trend.py</t>
        </is>
      </c>
      <c r="K143" s="7" t="inlineStr">
        <is>
          <t>local / reproducible-only (git-ignored)</t>
        </is>
      </c>
    </row>
    <row r="144">
      <c r="A144" s="7" t="inlineStr">
        <is>
          <t>tr.steady.mae30</t>
        </is>
      </c>
      <c r="B144" s="7" t="inlineStr">
        <is>
          <t>Validation segment, steady, 30 min: macro MAE</t>
        </is>
      </c>
      <c r="C144" s="8" t="n">
        <v>11.92671815526588</v>
      </c>
      <c r="D144" s="7" t="inlineStr">
        <is>
          <t>mg/dL</t>
        </is>
      </c>
      <c r="E144" s="7" t="inlineStr">
        <is>
          <t>trend</t>
        </is>
      </c>
      <c r="F144" s="7" t="inlineStr">
        <is>
          <t>artifacts/experiments/gt-primary-2026-10-13-fusion/error_by_trend.json</t>
        </is>
      </c>
      <c r="G144" s="7" t="inlineStr">
        <is>
          <t>/rows[horizon=30&amp;trend=steady]/mae_macro</t>
        </is>
      </c>
      <c r="H144" s="7" t="inlineStr">
        <is>
          <t>2026-10-20T17:41:13+00:00</t>
        </is>
      </c>
      <c r="I144" s="7" t="inlineStr">
        <is>
          <t>5c9d1104dee3a8b8b5e94771c2e92b94f16465cb19ceacc791d6db065a976c24</t>
        </is>
      </c>
      <c r="J144" s="7" t="inlineStr">
        <is>
          <t>scripts/error_by_trend.py</t>
        </is>
      </c>
      <c r="K144" s="7" t="inlineStr">
        <is>
          <t>local / reproducible-only (git-ignored)</t>
        </is>
      </c>
    </row>
    <row r="145">
      <c r="A145" s="7" t="inlineStr">
        <is>
          <t>tr.steady.cov30</t>
        </is>
      </c>
      <c r="B145" s="7" t="inlineStr">
        <is>
          <t>Validation segment, steady, 30 min: served range coverage</t>
        </is>
      </c>
      <c r="C145" s="8" t="n">
        <v>0.7729894808279606</v>
      </c>
      <c r="D145" s="7" t="inlineStr">
        <is>
          <t>share</t>
        </is>
      </c>
      <c r="E145" s="7" t="inlineStr">
        <is>
          <t>trend</t>
        </is>
      </c>
      <c r="F145" s="7" t="inlineStr">
        <is>
          <t>artifacts/experiments/gt-primary-2026-10-13-fusion/error_by_trend.json</t>
        </is>
      </c>
      <c r="G145" s="7" t="inlineStr">
        <is>
          <t>/rows[horizon=30&amp;trend=steady]/range_coverage</t>
        </is>
      </c>
      <c r="H145" s="7" t="inlineStr">
        <is>
          <t>2026-10-20T17:41:13+00:00</t>
        </is>
      </c>
      <c r="I145" s="7" t="inlineStr">
        <is>
          <t>5c9d1104dee3a8b8b5e94771c2e92b94f16465cb19ceacc791d6db065a976c24</t>
        </is>
      </c>
      <c r="J145" s="7" t="inlineStr">
        <is>
          <t>scripts/error_by_trend.py</t>
        </is>
      </c>
      <c r="K145" s="7" t="inlineStr">
        <is>
          <t>local / reproducible-only (git-ignored)</t>
        </is>
      </c>
    </row>
    <row r="146">
      <c r="A146" s="7" t="inlineStr">
        <is>
          <t>tr.steady.n30</t>
        </is>
      </c>
      <c r="B146" s="7" t="inlineStr">
        <is>
          <t>Validation segment, steady, 30 min: origins</t>
        </is>
      </c>
      <c r="C146" s="7" t="n">
        <v>2947</v>
      </c>
      <c r="D146" s="7" t="inlineStr">
        <is>
          <t>origins</t>
        </is>
      </c>
      <c r="E146" s="7" t="inlineStr">
        <is>
          <t>trend</t>
        </is>
      </c>
      <c r="F146" s="7" t="inlineStr">
        <is>
          <t>artifacts/experiments/gt-primary-2026-10-13-fusion/error_by_trend.json</t>
        </is>
      </c>
      <c r="G146" s="7" t="inlineStr">
        <is>
          <t>/rows[horizon=30&amp;trend=steady]/origins</t>
        </is>
      </c>
      <c r="H146" s="7" t="inlineStr">
        <is>
          <t>2026-10-20T17:41:13+00:00</t>
        </is>
      </c>
      <c r="I146" s="7" t="inlineStr">
        <is>
          <t>5c9d1104dee3a8b8b5e94771c2e92b94f16465cb19ceacc791d6db065a976c24</t>
        </is>
      </c>
      <c r="J146" s="7" t="inlineStr">
        <is>
          <t>scripts/error_by_trend.py</t>
        </is>
      </c>
      <c r="K146" s="7" t="inlineStr">
        <is>
          <t>local / reproducible-only (git-ignored)</t>
        </is>
      </c>
    </row>
    <row r="147">
      <c r="A147" s="7" t="inlineStr">
        <is>
          <t>tr.rising.mae30</t>
        </is>
      </c>
      <c r="B147" s="7" t="inlineStr">
        <is>
          <t>Validation segment, rising, 30 min: macro MAE</t>
        </is>
      </c>
      <c r="C147" s="8" t="n">
        <v>18.95251628197314</v>
      </c>
      <c r="D147" s="7" t="inlineStr">
        <is>
          <t>mg/dL</t>
        </is>
      </c>
      <c r="E147" s="7" t="inlineStr">
        <is>
          <t>trend</t>
        </is>
      </c>
      <c r="F147" s="7" t="inlineStr">
        <is>
          <t>artifacts/experiments/gt-primary-2026-10-13-fusion/error_by_trend.json</t>
        </is>
      </c>
      <c r="G147" s="7" t="inlineStr">
        <is>
          <t>/rows[horizon=30&amp;trend=rising]/mae_macro</t>
        </is>
      </c>
      <c r="H147" s="7" t="inlineStr">
        <is>
          <t>2026-10-20T17:41:13+00:00</t>
        </is>
      </c>
      <c r="I147" s="7" t="inlineStr">
        <is>
          <t>5c9d1104dee3a8b8b5e94771c2e92b94f16465cb19ceacc791d6db065a976c24</t>
        </is>
      </c>
      <c r="J147" s="7" t="inlineStr">
        <is>
          <t>scripts/error_by_trend.py</t>
        </is>
      </c>
      <c r="K147" s="7" t="inlineStr">
        <is>
          <t>local / reproducible-only (git-ignored)</t>
        </is>
      </c>
    </row>
    <row r="148">
      <c r="A148" s="7" t="inlineStr">
        <is>
          <t>tr.rising.cov30</t>
        </is>
      </c>
      <c r="B148" s="7" t="inlineStr">
        <is>
          <t>Validation segment, rising, 30 min: served range coverage</t>
        </is>
      </c>
      <c r="C148" s="8" t="n">
        <v>0.5622489959839357</v>
      </c>
      <c r="D148" s="7" t="inlineStr">
        <is>
          <t>share</t>
        </is>
      </c>
      <c r="E148" s="7" t="inlineStr">
        <is>
          <t>trend</t>
        </is>
      </c>
      <c r="F148" s="7" t="inlineStr">
        <is>
          <t>artifacts/experiments/gt-primary-2026-10-13-fusion/error_by_trend.json</t>
        </is>
      </c>
      <c r="G148" s="7" t="inlineStr">
        <is>
          <t>/rows[horizon=30&amp;trend=rising]/range_coverage</t>
        </is>
      </c>
      <c r="H148" s="7" t="inlineStr">
        <is>
          <t>2026-10-20T17:41:13+00:00</t>
        </is>
      </c>
      <c r="I148" s="7" t="inlineStr">
        <is>
          <t>5c9d1104dee3a8b8b5e94771c2e92b94f16465cb19ceacc791d6db065a976c24</t>
        </is>
      </c>
      <c r="J148" s="7" t="inlineStr">
        <is>
          <t>scripts/error_by_trend.py</t>
        </is>
      </c>
      <c r="K148" s="7" t="inlineStr">
        <is>
          <t>local / reproducible-only (git-ignored)</t>
        </is>
      </c>
    </row>
    <row r="149">
      <c r="A149" s="7" t="inlineStr">
        <is>
          <t>tr.rising.n30</t>
        </is>
      </c>
      <c r="B149" s="7" t="inlineStr">
        <is>
          <t>Validation segment, rising, 30 min: origins</t>
        </is>
      </c>
      <c r="C149" s="7" t="n">
        <v>249</v>
      </c>
      <c r="D149" s="7" t="inlineStr">
        <is>
          <t>origins</t>
        </is>
      </c>
      <c r="E149" s="7" t="inlineStr">
        <is>
          <t>trend</t>
        </is>
      </c>
      <c r="F149" s="7" t="inlineStr">
        <is>
          <t>artifacts/experiments/gt-primary-2026-10-13-fusion/error_by_trend.json</t>
        </is>
      </c>
      <c r="G149" s="7" t="inlineStr">
        <is>
          <t>/rows[horizon=30&amp;trend=rising]/origins</t>
        </is>
      </c>
      <c r="H149" s="7" t="inlineStr">
        <is>
          <t>2026-10-20T17:41:13+00:00</t>
        </is>
      </c>
      <c r="I149" s="7" t="inlineStr">
        <is>
          <t>5c9d1104dee3a8b8b5e94771c2e92b94f16465cb19ceacc791d6db065a976c24</t>
        </is>
      </c>
      <c r="J149" s="7" t="inlineStr">
        <is>
          <t>scripts/error_by_trend.py</t>
        </is>
      </c>
      <c r="K149" s="7" t="inlineStr">
        <is>
          <t>local / reproducible-only (git-ignored)</t>
        </is>
      </c>
    </row>
    <row r="150">
      <c r="A150" s="7" t="inlineStr">
        <is>
          <t>tr.rising_fast.mae30</t>
        </is>
      </c>
      <c r="B150" s="7" t="inlineStr">
        <is>
          <t>Validation segment, rising_fast, 30 min: macro MAE</t>
        </is>
      </c>
      <c r="C150" s="8" t="n">
        <v>25.87339640468876</v>
      </c>
      <c r="D150" s="7" t="inlineStr">
        <is>
          <t>mg/dL</t>
        </is>
      </c>
      <c r="E150" s="7" t="inlineStr">
        <is>
          <t>trend</t>
        </is>
      </c>
      <c r="F150" s="7" t="inlineStr">
        <is>
          <t>artifacts/experiments/gt-primary-2026-10-13-fusion/error_by_trend.json</t>
        </is>
      </c>
      <c r="G150" s="7" t="inlineStr">
        <is>
          <t>/rows[horizon=30&amp;trend=rising_fast]/mae_macro</t>
        </is>
      </c>
      <c r="H150" s="7" t="inlineStr">
        <is>
          <t>2026-10-20T17:41:13+00:00</t>
        </is>
      </c>
      <c r="I150" s="7" t="inlineStr">
        <is>
          <t>5c9d1104dee3a8b8b5e94771c2e92b94f16465cb19ceacc791d6db065a976c24</t>
        </is>
      </c>
      <c r="J150" s="7" t="inlineStr">
        <is>
          <t>scripts/error_by_trend.py</t>
        </is>
      </c>
      <c r="K150" s="7" t="inlineStr">
        <is>
          <t>local / reproducible-only (git-ignored)</t>
        </is>
      </c>
    </row>
    <row r="151">
      <c r="A151" s="7" t="inlineStr">
        <is>
          <t>tr.rising_fast.cov30</t>
        </is>
      </c>
      <c r="B151" s="7" t="inlineStr">
        <is>
          <t>Validation segment, rising_fast, 30 min: served range coverage</t>
        </is>
      </c>
      <c r="C151" s="8" t="n">
        <v>0.3985507246376812</v>
      </c>
      <c r="D151" s="7" t="inlineStr">
        <is>
          <t>share</t>
        </is>
      </c>
      <c r="E151" s="7" t="inlineStr">
        <is>
          <t>trend</t>
        </is>
      </c>
      <c r="F151" s="7" t="inlineStr">
        <is>
          <t>artifacts/experiments/gt-primary-2026-10-13-fusion/error_by_trend.json</t>
        </is>
      </c>
      <c r="G151" s="7" t="inlineStr">
        <is>
          <t>/rows[horizon=30&amp;trend=rising_fast]/range_coverage</t>
        </is>
      </c>
      <c r="H151" s="7" t="inlineStr">
        <is>
          <t>2026-10-20T17:41:13+00:00</t>
        </is>
      </c>
      <c r="I151" s="7" t="inlineStr">
        <is>
          <t>5c9d1104dee3a8b8b5e94771c2e92b94f16465cb19ceacc791d6db065a976c24</t>
        </is>
      </c>
      <c r="J151" s="7" t="inlineStr">
        <is>
          <t>scripts/error_by_trend.py</t>
        </is>
      </c>
      <c r="K151" s="7" t="inlineStr">
        <is>
          <t>local / reproducible-only (git-ignored)</t>
        </is>
      </c>
    </row>
    <row r="152">
      <c r="A152" s="7" t="inlineStr">
        <is>
          <t>tr.rising_fast.n30</t>
        </is>
      </c>
      <c r="B152" s="7" t="inlineStr">
        <is>
          <t>Validation segment, rising_fast, 30 min: origins</t>
        </is>
      </c>
      <c r="C152" s="7" t="n">
        <v>138</v>
      </c>
      <c r="D152" s="7" t="inlineStr">
        <is>
          <t>origins</t>
        </is>
      </c>
      <c r="E152" s="7" t="inlineStr">
        <is>
          <t>trend</t>
        </is>
      </c>
      <c r="F152" s="7" t="inlineStr">
        <is>
          <t>artifacts/experiments/gt-primary-2026-10-13-fusion/error_by_trend.json</t>
        </is>
      </c>
      <c r="G152" s="7" t="inlineStr">
        <is>
          <t>/rows[horizon=30&amp;trend=rising_fast]/origins</t>
        </is>
      </c>
      <c r="H152" s="7" t="inlineStr">
        <is>
          <t>2026-10-20T17:41:13+00:00</t>
        </is>
      </c>
      <c r="I152" s="7" t="inlineStr">
        <is>
          <t>5c9d1104dee3a8b8b5e94771c2e92b94f16465cb19ceacc791d6db065a976c24</t>
        </is>
      </c>
      <c r="J152" s="7" t="inlineStr">
        <is>
          <t>scripts/error_by_trend.py</t>
        </is>
      </c>
      <c r="K152" s="7" t="inlineStr">
        <is>
          <t>local / reproducible-only (git-ignored)</t>
        </is>
      </c>
    </row>
    <row r="153">
      <c r="A153" s="7" t="inlineStr">
        <is>
          <t>tr.bias_high30</t>
        </is>
      </c>
      <c r="B153" s="7" t="inlineStr">
        <is>
          <t>Validation segment, 30 min: mean signed error (forecast − actual) when actual &gt; 180</t>
        </is>
      </c>
      <c r="C153" s="8" t="n">
        <v>-7.707077703401636</v>
      </c>
      <c r="D153" s="7" t="inlineStr">
        <is>
          <t>mg/dL</t>
        </is>
      </c>
      <c r="E153" s="7" t="inlineStr">
        <is>
          <t>trend</t>
        </is>
      </c>
      <c r="F153" s="7" t="inlineStr">
        <is>
          <t>artifacts/experiments/gt-primary-2026-10-13-fusion/error_by_trend.json</t>
        </is>
      </c>
      <c r="G153" s="7" t="inlineStr">
        <is>
          <t>/rows[horizon=30&amp;trend=all]/mean_signed_error_target_above_180</t>
        </is>
      </c>
      <c r="H153" s="7" t="inlineStr">
        <is>
          <t>2026-10-20T17:41:13+00:00</t>
        </is>
      </c>
      <c r="I153" s="7" t="inlineStr">
        <is>
          <t>5c9d1104dee3a8b8b5e94771c2e92b94f16465cb19ceacc791d6db065a976c24</t>
        </is>
      </c>
      <c r="J153" s="7" t="inlineStr">
        <is>
          <t>scripts/error_by_trend.py</t>
        </is>
      </c>
      <c r="K153" s="7" t="inlineStr">
        <is>
          <t>local / reproducible-only (git-ignored)</t>
        </is>
      </c>
    </row>
    <row r="154">
      <c r="A154" s="7" t="inlineStr">
        <is>
          <t>tr.all.mae60</t>
        </is>
      </c>
      <c r="B154" s="7" t="inlineStr">
        <is>
          <t>Validation segment, all, 60 min: macro MAE</t>
        </is>
      </c>
      <c r="C154" s="8" t="n">
        <v>20.91932306037634</v>
      </c>
      <c r="D154" s="7" t="inlineStr">
        <is>
          <t>mg/dL</t>
        </is>
      </c>
      <c r="E154" s="7" t="inlineStr">
        <is>
          <t>trend</t>
        </is>
      </c>
      <c r="F154" s="7" t="inlineStr">
        <is>
          <t>artifacts/experiments/gt-primary-2026-10-13-fusion/error_by_trend.json</t>
        </is>
      </c>
      <c r="G154" s="7" t="inlineStr">
        <is>
          <t>/rows[horizon=60&amp;trend=all]/mae_macro</t>
        </is>
      </c>
      <c r="H154" s="7" t="inlineStr">
        <is>
          <t>2026-10-20T17:41:13+00:00</t>
        </is>
      </c>
      <c r="I154" s="7" t="inlineStr">
        <is>
          <t>5c9d1104dee3a8b8b5e94771c2e92b94f16465cb19ceacc791d6db065a976c24</t>
        </is>
      </c>
      <c r="J154" s="7" t="inlineStr">
        <is>
          <t>scripts/error_by_trend.py</t>
        </is>
      </c>
      <c r="K154" s="7" t="inlineStr">
        <is>
          <t>local / reproducible-only (git-ignored)</t>
        </is>
      </c>
    </row>
    <row r="155">
      <c r="A155" s="7" t="inlineStr">
        <is>
          <t>tr.all.cov60</t>
        </is>
      </c>
      <c r="B155" s="7" t="inlineStr">
        <is>
          <t>Validation segment, all, 60 min: served range coverage</t>
        </is>
      </c>
      <c r="C155" s="8" t="n">
        <v>0.727562400424854</v>
      </c>
      <c r="D155" s="7" t="inlineStr">
        <is>
          <t>share</t>
        </is>
      </c>
      <c r="E155" s="7" t="inlineStr">
        <is>
          <t>trend</t>
        </is>
      </c>
      <c r="F155" s="7" t="inlineStr">
        <is>
          <t>artifacts/experiments/gt-primary-2026-10-13-fusion/error_by_trend.json</t>
        </is>
      </c>
      <c r="G155" s="7" t="inlineStr">
        <is>
          <t>/rows[horizon=60&amp;trend=all]/range_coverage</t>
        </is>
      </c>
      <c r="H155" s="7" t="inlineStr">
        <is>
          <t>2026-10-20T17:41:13+00:00</t>
        </is>
      </c>
      <c r="I155" s="7" t="inlineStr">
        <is>
          <t>5c9d1104dee3a8b8b5e94771c2e92b94f16465cb19ceacc791d6db065a976c24</t>
        </is>
      </c>
      <c r="J155" s="7" t="inlineStr">
        <is>
          <t>scripts/error_by_trend.py</t>
        </is>
      </c>
      <c r="K155" s="7" t="inlineStr">
        <is>
          <t>local / reproducible-only (git-ignored)</t>
        </is>
      </c>
    </row>
    <row r="156">
      <c r="A156" s="7" t="inlineStr">
        <is>
          <t>tr.all.n60</t>
        </is>
      </c>
      <c r="B156" s="7" t="inlineStr">
        <is>
          <t>Validation segment, all, 60 min: origins</t>
        </is>
      </c>
      <c r="C156" s="7" t="n">
        <v>3766</v>
      </c>
      <c r="D156" s="7" t="inlineStr">
        <is>
          <t>origins</t>
        </is>
      </c>
      <c r="E156" s="7" t="inlineStr">
        <is>
          <t>trend</t>
        </is>
      </c>
      <c r="F156" s="7" t="inlineStr">
        <is>
          <t>artifacts/experiments/gt-primary-2026-10-13-fusion/error_by_trend.json</t>
        </is>
      </c>
      <c r="G156" s="7" t="inlineStr">
        <is>
          <t>/rows[horizon=60&amp;trend=all]/origins</t>
        </is>
      </c>
      <c r="H156" s="7" t="inlineStr">
        <is>
          <t>2026-10-20T17:41:13+00:00</t>
        </is>
      </c>
      <c r="I156" s="7" t="inlineStr">
        <is>
          <t>5c9d1104dee3a8b8b5e94771c2e92b94f16465cb19ceacc791d6db065a976c24</t>
        </is>
      </c>
      <c r="J156" s="7" t="inlineStr">
        <is>
          <t>scripts/error_by_trend.py</t>
        </is>
      </c>
      <c r="K156" s="7" t="inlineStr">
        <is>
          <t>local / reproducible-only (git-ignored)</t>
        </is>
      </c>
    </row>
    <row r="157">
      <c r="A157" s="7" t="inlineStr">
        <is>
          <t>tr.falling_fast.mae60</t>
        </is>
      </c>
      <c r="B157" s="7" t="inlineStr">
        <is>
          <t>Validation segment, falling_fast, 60 min: macro MAE</t>
        </is>
      </c>
      <c r="C157" s="8" t="n">
        <v>23.48356463767322</v>
      </c>
      <c r="D157" s="7" t="inlineStr">
        <is>
          <t>mg/dL</t>
        </is>
      </c>
      <c r="E157" s="7" t="inlineStr">
        <is>
          <t>trend</t>
        </is>
      </c>
      <c r="F157" s="7" t="inlineStr">
        <is>
          <t>artifacts/experiments/gt-primary-2026-10-13-fusion/error_by_trend.json</t>
        </is>
      </c>
      <c r="G157" s="7" t="inlineStr">
        <is>
          <t>/rows[horizon=60&amp;trend=falling_fast]/mae_macro</t>
        </is>
      </c>
      <c r="H157" s="7" t="inlineStr">
        <is>
          <t>2026-10-20T17:41:13+00:00</t>
        </is>
      </c>
      <c r="I157" s="7" t="inlineStr">
        <is>
          <t>5c9d1104dee3a8b8b5e94771c2e92b94f16465cb19ceacc791d6db065a976c24</t>
        </is>
      </c>
      <c r="J157" s="7" t="inlineStr">
        <is>
          <t>scripts/error_by_trend.py</t>
        </is>
      </c>
      <c r="K157" s="7" t="inlineStr">
        <is>
          <t>local / reproducible-only (git-ignored)</t>
        </is>
      </c>
    </row>
    <row r="158">
      <c r="A158" s="7" t="inlineStr">
        <is>
          <t>tr.falling_fast.cov60</t>
        </is>
      </c>
      <c r="B158" s="7" t="inlineStr">
        <is>
          <t>Validation segment, falling_fast, 60 min: served range coverage</t>
        </is>
      </c>
      <c r="C158" s="8" t="n">
        <v>0.61</v>
      </c>
      <c r="D158" s="7" t="inlineStr">
        <is>
          <t>share</t>
        </is>
      </c>
      <c r="E158" s="7" t="inlineStr">
        <is>
          <t>trend</t>
        </is>
      </c>
      <c r="F158" s="7" t="inlineStr">
        <is>
          <t>artifacts/experiments/gt-primary-2026-10-13-fusion/error_by_trend.json</t>
        </is>
      </c>
      <c r="G158" s="7" t="inlineStr">
        <is>
          <t>/rows[horizon=60&amp;trend=falling_fast]/range_coverage</t>
        </is>
      </c>
      <c r="H158" s="7" t="inlineStr">
        <is>
          <t>2026-10-20T17:41:13+00:00</t>
        </is>
      </c>
      <c r="I158" s="7" t="inlineStr">
        <is>
          <t>5c9d1104dee3a8b8b5e94771c2e92b94f16465cb19ceacc791d6db065a976c24</t>
        </is>
      </c>
      <c r="J158" s="7" t="inlineStr">
        <is>
          <t>scripts/error_by_trend.py</t>
        </is>
      </c>
      <c r="K158" s="7" t="inlineStr">
        <is>
          <t>local / reproducible-only (git-ignored)</t>
        </is>
      </c>
    </row>
    <row r="159">
      <c r="A159" s="7" t="inlineStr">
        <is>
          <t>tr.falling_fast.n60</t>
        </is>
      </c>
      <c r="B159" s="7" t="inlineStr">
        <is>
          <t>Validation segment, falling_fast, 60 min: origins</t>
        </is>
      </c>
      <c r="C159" s="7" t="n">
        <v>100</v>
      </c>
      <c r="D159" s="7" t="inlineStr">
        <is>
          <t>origins</t>
        </is>
      </c>
      <c r="E159" s="7" t="inlineStr">
        <is>
          <t>trend</t>
        </is>
      </c>
      <c r="F159" s="7" t="inlineStr">
        <is>
          <t>artifacts/experiments/gt-primary-2026-10-13-fusion/error_by_trend.json</t>
        </is>
      </c>
      <c r="G159" s="7" t="inlineStr">
        <is>
          <t>/rows[horizon=60&amp;trend=falling_fast]/origins</t>
        </is>
      </c>
      <c r="H159" s="7" t="inlineStr">
        <is>
          <t>2026-10-20T17:41:13+00:00</t>
        </is>
      </c>
      <c r="I159" s="7" t="inlineStr">
        <is>
          <t>5c9d1104dee3a8b8b5e94771c2e92b94f16465cb19ceacc791d6db065a976c24</t>
        </is>
      </c>
      <c r="J159" s="7" t="inlineStr">
        <is>
          <t>scripts/error_by_trend.py</t>
        </is>
      </c>
      <c r="K159" s="7" t="inlineStr">
        <is>
          <t>local / reproducible-only (git-ignored)</t>
        </is>
      </c>
    </row>
    <row r="160">
      <c r="A160" s="7" t="inlineStr">
        <is>
          <t>tr.falling.mae60</t>
        </is>
      </c>
      <c r="B160" s="7" t="inlineStr">
        <is>
          <t>Validation segment, falling, 60 min: macro MAE</t>
        </is>
      </c>
      <c r="C160" s="8" t="n">
        <v>21.81095775393315</v>
      </c>
      <c r="D160" s="7" t="inlineStr">
        <is>
          <t>mg/dL</t>
        </is>
      </c>
      <c r="E160" s="7" t="inlineStr">
        <is>
          <t>trend</t>
        </is>
      </c>
      <c r="F160" s="7" t="inlineStr">
        <is>
          <t>artifacts/experiments/gt-primary-2026-10-13-fusion/error_by_trend.json</t>
        </is>
      </c>
      <c r="G160" s="7" t="inlineStr">
        <is>
          <t>/rows[horizon=60&amp;trend=falling]/mae_macro</t>
        </is>
      </c>
      <c r="H160" s="7" t="inlineStr">
        <is>
          <t>2026-10-20T17:41:13+00:00</t>
        </is>
      </c>
      <c r="I160" s="7" t="inlineStr">
        <is>
          <t>5c9d1104dee3a8b8b5e94771c2e92b94f16465cb19ceacc791d6db065a976c24</t>
        </is>
      </c>
      <c r="J160" s="7" t="inlineStr">
        <is>
          <t>scripts/error_by_trend.py</t>
        </is>
      </c>
      <c r="K160" s="7" t="inlineStr">
        <is>
          <t>local / reproducible-only (git-ignored)</t>
        </is>
      </c>
    </row>
    <row r="161">
      <c r="A161" s="7" t="inlineStr">
        <is>
          <t>tr.falling.cov60</t>
        </is>
      </c>
      <c r="B161" s="7" t="inlineStr">
        <is>
          <t>Validation segment, falling, 60 min: served range coverage</t>
        </is>
      </c>
      <c r="C161" s="8" t="n">
        <v>0.6445783132530121</v>
      </c>
      <c r="D161" s="7" t="inlineStr">
        <is>
          <t>share</t>
        </is>
      </c>
      <c r="E161" s="7" t="inlineStr">
        <is>
          <t>trend</t>
        </is>
      </c>
      <c r="F161" s="7" t="inlineStr">
        <is>
          <t>artifacts/experiments/gt-primary-2026-10-13-fusion/error_by_trend.json</t>
        </is>
      </c>
      <c r="G161" s="7" t="inlineStr">
        <is>
          <t>/rows[horizon=60&amp;trend=falling]/range_coverage</t>
        </is>
      </c>
      <c r="H161" s="7" t="inlineStr">
        <is>
          <t>2026-10-20T17:41:13+00:00</t>
        </is>
      </c>
      <c r="I161" s="7" t="inlineStr">
        <is>
          <t>5c9d1104dee3a8b8b5e94771c2e92b94f16465cb19ceacc791d6db065a976c24</t>
        </is>
      </c>
      <c r="J161" s="7" t="inlineStr">
        <is>
          <t>scripts/error_by_trend.py</t>
        </is>
      </c>
      <c r="K161" s="7" t="inlineStr">
        <is>
          <t>local / reproducible-only (git-ignored)</t>
        </is>
      </c>
    </row>
    <row r="162">
      <c r="A162" s="7" t="inlineStr">
        <is>
          <t>tr.falling.n60</t>
        </is>
      </c>
      <c r="B162" s="7" t="inlineStr">
        <is>
          <t>Validation segment, falling, 60 min: origins</t>
        </is>
      </c>
      <c r="C162" s="7" t="n">
        <v>332</v>
      </c>
      <c r="D162" s="7" t="inlineStr">
        <is>
          <t>origins</t>
        </is>
      </c>
      <c r="E162" s="7" t="inlineStr">
        <is>
          <t>trend</t>
        </is>
      </c>
      <c r="F162" s="7" t="inlineStr">
        <is>
          <t>artifacts/experiments/gt-primary-2026-10-13-fusion/error_by_trend.json</t>
        </is>
      </c>
      <c r="G162" s="7" t="inlineStr">
        <is>
          <t>/rows[horizon=60&amp;trend=falling]/origins</t>
        </is>
      </c>
      <c r="H162" s="7" t="inlineStr">
        <is>
          <t>2026-10-20T17:41:13+00:00</t>
        </is>
      </c>
      <c r="I162" s="7" t="inlineStr">
        <is>
          <t>5c9d1104dee3a8b8b5e94771c2e92b94f16465cb19ceacc791d6db065a976c24</t>
        </is>
      </c>
      <c r="J162" s="7" t="inlineStr">
        <is>
          <t>scripts/error_by_trend.py</t>
        </is>
      </c>
      <c r="K162" s="7" t="inlineStr">
        <is>
          <t>local / reproducible-only (git-ignored)</t>
        </is>
      </c>
    </row>
    <row r="163">
      <c r="A163" s="7" t="inlineStr">
        <is>
          <t>tr.steady.mae60</t>
        </is>
      </c>
      <c r="B163" s="7" t="inlineStr">
        <is>
          <t>Validation segment, steady, 60 min: macro MAE</t>
        </is>
      </c>
      <c r="C163" s="8" t="n">
        <v>19.53601497327292</v>
      </c>
      <c r="D163" s="7" t="inlineStr">
        <is>
          <t>mg/dL</t>
        </is>
      </c>
      <c r="E163" s="7" t="inlineStr">
        <is>
          <t>trend</t>
        </is>
      </c>
      <c r="F163" s="7" t="inlineStr">
        <is>
          <t>artifacts/experiments/gt-primary-2026-10-13-fusion/error_by_trend.json</t>
        </is>
      </c>
      <c r="G163" s="7" t="inlineStr">
        <is>
          <t>/rows[horizon=60&amp;trend=steady]/mae_macro</t>
        </is>
      </c>
      <c r="H163" s="7" t="inlineStr">
        <is>
          <t>2026-10-20T17:41:13+00:00</t>
        </is>
      </c>
      <c r="I163" s="7" t="inlineStr">
        <is>
          <t>5c9d1104dee3a8b8b5e94771c2e92b94f16465cb19ceacc791d6db065a976c24</t>
        </is>
      </c>
      <c r="J163" s="7" t="inlineStr">
        <is>
          <t>scripts/error_by_trend.py</t>
        </is>
      </c>
      <c r="K163" s="7" t="inlineStr">
        <is>
          <t>local / reproducible-only (git-ignored)</t>
        </is>
      </c>
    </row>
    <row r="164">
      <c r="A164" s="7" t="inlineStr">
        <is>
          <t>tr.steady.cov60</t>
        </is>
      </c>
      <c r="B164" s="7" t="inlineStr">
        <is>
          <t>Validation segment, steady, 60 min: served range coverage</t>
        </is>
      </c>
      <c r="C164" s="8" t="n">
        <v>0.7702748557855447</v>
      </c>
      <c r="D164" s="7" t="inlineStr">
        <is>
          <t>share</t>
        </is>
      </c>
      <c r="E164" s="7" t="inlineStr">
        <is>
          <t>trend</t>
        </is>
      </c>
      <c r="F164" s="7" t="inlineStr">
        <is>
          <t>artifacts/experiments/gt-primary-2026-10-13-fusion/error_by_trend.json</t>
        </is>
      </c>
      <c r="G164" s="7" t="inlineStr">
        <is>
          <t>/rows[horizon=60&amp;trend=steady]/range_coverage</t>
        </is>
      </c>
      <c r="H164" s="7" t="inlineStr">
        <is>
          <t>2026-10-20T17:41:13+00:00</t>
        </is>
      </c>
      <c r="I164" s="7" t="inlineStr">
        <is>
          <t>5c9d1104dee3a8b8b5e94771c2e92b94f16465cb19ceacc791d6db065a976c24</t>
        </is>
      </c>
      <c r="J164" s="7" t="inlineStr">
        <is>
          <t>scripts/error_by_trend.py</t>
        </is>
      </c>
      <c r="K164" s="7" t="inlineStr">
        <is>
          <t>local / reproducible-only (git-ignored)</t>
        </is>
      </c>
    </row>
    <row r="165">
      <c r="A165" s="7" t="inlineStr">
        <is>
          <t>tr.steady.n60</t>
        </is>
      </c>
      <c r="B165" s="7" t="inlineStr">
        <is>
          <t>Validation segment, steady, 60 min: origins</t>
        </is>
      </c>
      <c r="C165" s="7" t="n">
        <v>2947</v>
      </c>
      <c r="D165" s="7" t="inlineStr">
        <is>
          <t>origins</t>
        </is>
      </c>
      <c r="E165" s="7" t="inlineStr">
        <is>
          <t>trend</t>
        </is>
      </c>
      <c r="F165" s="7" t="inlineStr">
        <is>
          <t>artifacts/experiments/gt-primary-2026-10-13-fusion/error_by_trend.json</t>
        </is>
      </c>
      <c r="G165" s="7" t="inlineStr">
        <is>
          <t>/rows[horizon=60&amp;trend=steady]/origins</t>
        </is>
      </c>
      <c r="H165" s="7" t="inlineStr">
        <is>
          <t>2026-10-20T17:41:13+00:00</t>
        </is>
      </c>
      <c r="I165" s="7" t="inlineStr">
        <is>
          <t>5c9d1104dee3a8b8b5e94771c2e92b94f16465cb19ceacc791d6db065a976c24</t>
        </is>
      </c>
      <c r="J165" s="7" t="inlineStr">
        <is>
          <t>scripts/error_by_trend.py</t>
        </is>
      </c>
      <c r="K165" s="7" t="inlineStr">
        <is>
          <t>local / reproducible-only (git-ignored)</t>
        </is>
      </c>
    </row>
    <row r="166">
      <c r="A166" s="7" t="inlineStr">
        <is>
          <t>tr.rising.mae60</t>
        </is>
      </c>
      <c r="B166" s="7" t="inlineStr">
        <is>
          <t>Validation segment, rising, 60 min: macro MAE</t>
        </is>
      </c>
      <c r="C166" s="8" t="n">
        <v>28.76075089997481</v>
      </c>
      <c r="D166" s="7" t="inlineStr">
        <is>
          <t>mg/dL</t>
        </is>
      </c>
      <c r="E166" s="7" t="inlineStr">
        <is>
          <t>trend</t>
        </is>
      </c>
      <c r="F166" s="7" t="inlineStr">
        <is>
          <t>artifacts/experiments/gt-primary-2026-10-13-fusion/error_by_trend.json</t>
        </is>
      </c>
      <c r="G166" s="7" t="inlineStr">
        <is>
          <t>/rows[horizon=60&amp;trend=rising]/mae_macro</t>
        </is>
      </c>
      <c r="H166" s="7" t="inlineStr">
        <is>
          <t>2026-10-20T17:41:13+00:00</t>
        </is>
      </c>
      <c r="I166" s="7" t="inlineStr">
        <is>
          <t>5c9d1104dee3a8b8b5e94771c2e92b94f16465cb19ceacc791d6db065a976c24</t>
        </is>
      </c>
      <c r="J166" s="7" t="inlineStr">
        <is>
          <t>scripts/error_by_trend.py</t>
        </is>
      </c>
      <c r="K166" s="7" t="inlineStr">
        <is>
          <t>local / reproducible-only (git-ignored)</t>
        </is>
      </c>
    </row>
    <row r="167">
      <c r="A167" s="7" t="inlineStr">
        <is>
          <t>tr.rising.cov60</t>
        </is>
      </c>
      <c r="B167" s="7" t="inlineStr">
        <is>
          <t>Validation segment, rising, 60 min: served range coverage</t>
        </is>
      </c>
      <c r="C167" s="8" t="n">
        <v>0.5301204819277109</v>
      </c>
      <c r="D167" s="7" t="inlineStr">
        <is>
          <t>share</t>
        </is>
      </c>
      <c r="E167" s="7" t="inlineStr">
        <is>
          <t>trend</t>
        </is>
      </c>
      <c r="F167" s="7" t="inlineStr">
        <is>
          <t>artifacts/experiments/gt-primary-2026-10-13-fusion/error_by_trend.json</t>
        </is>
      </c>
      <c r="G167" s="7" t="inlineStr">
        <is>
          <t>/rows[horizon=60&amp;trend=rising]/range_coverage</t>
        </is>
      </c>
      <c r="H167" s="7" t="inlineStr">
        <is>
          <t>2026-10-20T17:41:13+00:00</t>
        </is>
      </c>
      <c r="I167" s="7" t="inlineStr">
        <is>
          <t>5c9d1104dee3a8b8b5e94771c2e92b94f16465cb19ceacc791d6db065a976c24</t>
        </is>
      </c>
      <c r="J167" s="7" t="inlineStr">
        <is>
          <t>scripts/error_by_trend.py</t>
        </is>
      </c>
      <c r="K167" s="7" t="inlineStr">
        <is>
          <t>local / reproducible-only (git-ignored)</t>
        </is>
      </c>
    </row>
    <row r="168">
      <c r="A168" s="7" t="inlineStr">
        <is>
          <t>tr.rising.n60</t>
        </is>
      </c>
      <c r="B168" s="7" t="inlineStr">
        <is>
          <t>Validation segment, rising, 60 min: origins</t>
        </is>
      </c>
      <c r="C168" s="7" t="n">
        <v>249</v>
      </c>
      <c r="D168" s="7" t="inlineStr">
        <is>
          <t>origins</t>
        </is>
      </c>
      <c r="E168" s="7" t="inlineStr">
        <is>
          <t>trend</t>
        </is>
      </c>
      <c r="F168" s="7" t="inlineStr">
        <is>
          <t>artifacts/experiments/gt-primary-2026-10-13-fusion/error_by_trend.json</t>
        </is>
      </c>
      <c r="G168" s="7" t="inlineStr">
        <is>
          <t>/rows[horizon=60&amp;trend=rising]/origins</t>
        </is>
      </c>
      <c r="H168" s="7" t="inlineStr">
        <is>
          <t>2026-10-20T17:41:13+00:00</t>
        </is>
      </c>
      <c r="I168" s="7" t="inlineStr">
        <is>
          <t>5c9d1104dee3a8b8b5e94771c2e92b94f16465cb19ceacc791d6db065a976c24</t>
        </is>
      </c>
      <c r="J168" s="7" t="inlineStr">
        <is>
          <t>scripts/error_by_trend.py</t>
        </is>
      </c>
      <c r="K168" s="7" t="inlineStr">
        <is>
          <t>local / reproducible-only (git-ignored)</t>
        </is>
      </c>
    </row>
    <row r="169">
      <c r="A169" s="7" t="inlineStr">
        <is>
          <t>tr.rising_fast.mae60</t>
        </is>
      </c>
      <c r="B169" s="7" t="inlineStr">
        <is>
          <t>Validation segment, rising_fast, 60 min: macro MAE</t>
        </is>
      </c>
      <c r="C169" s="8" t="n">
        <v>35.32622948170383</v>
      </c>
      <c r="D169" s="7" t="inlineStr">
        <is>
          <t>mg/dL</t>
        </is>
      </c>
      <c r="E169" s="7" t="inlineStr">
        <is>
          <t>trend</t>
        </is>
      </c>
      <c r="F169" s="7" t="inlineStr">
        <is>
          <t>artifacts/experiments/gt-primary-2026-10-13-fusion/error_by_trend.json</t>
        </is>
      </c>
      <c r="G169" s="7" t="inlineStr">
        <is>
          <t>/rows[horizon=60&amp;trend=rising_fast]/mae_macro</t>
        </is>
      </c>
      <c r="H169" s="7" t="inlineStr">
        <is>
          <t>2026-10-20T17:41:13+00:00</t>
        </is>
      </c>
      <c r="I169" s="7" t="inlineStr">
        <is>
          <t>5c9d1104dee3a8b8b5e94771c2e92b94f16465cb19ceacc791d6db065a976c24</t>
        </is>
      </c>
      <c r="J169" s="7" t="inlineStr">
        <is>
          <t>scripts/error_by_trend.py</t>
        </is>
      </c>
      <c r="K169" s="7" t="inlineStr">
        <is>
          <t>local / reproducible-only (git-ignored)</t>
        </is>
      </c>
    </row>
    <row r="170">
      <c r="A170" s="7" t="inlineStr">
        <is>
          <t>tr.rising_fast.cov60</t>
        </is>
      </c>
      <c r="B170" s="7" t="inlineStr">
        <is>
          <t>Validation segment, rising_fast, 60 min: served range coverage</t>
        </is>
      </c>
      <c r="C170" s="8" t="n">
        <v>0.4565217391304348</v>
      </c>
      <c r="D170" s="7" t="inlineStr">
        <is>
          <t>share</t>
        </is>
      </c>
      <c r="E170" s="7" t="inlineStr">
        <is>
          <t>trend</t>
        </is>
      </c>
      <c r="F170" s="7" t="inlineStr">
        <is>
          <t>artifacts/experiments/gt-primary-2026-10-13-fusion/error_by_trend.json</t>
        </is>
      </c>
      <c r="G170" s="7" t="inlineStr">
        <is>
          <t>/rows[horizon=60&amp;trend=rising_fast]/range_coverage</t>
        </is>
      </c>
      <c r="H170" s="7" t="inlineStr">
        <is>
          <t>2026-10-20T17:41:13+00:00</t>
        </is>
      </c>
      <c r="I170" s="7" t="inlineStr">
        <is>
          <t>5c9d1104dee3a8b8b5e94771c2e92b94f16465cb19ceacc791d6db065a976c24</t>
        </is>
      </c>
      <c r="J170" s="7" t="inlineStr">
        <is>
          <t>scripts/error_by_trend.py</t>
        </is>
      </c>
      <c r="K170" s="7" t="inlineStr">
        <is>
          <t>local / reproducible-only (git-ignored)</t>
        </is>
      </c>
    </row>
    <row r="171">
      <c r="A171" s="7" t="inlineStr">
        <is>
          <t>tr.rising_fast.n60</t>
        </is>
      </c>
      <c r="B171" s="7" t="inlineStr">
        <is>
          <t>Validation segment, rising_fast, 60 min: origins</t>
        </is>
      </c>
      <c r="C171" s="7" t="n">
        <v>138</v>
      </c>
      <c r="D171" s="7" t="inlineStr">
        <is>
          <t>origins</t>
        </is>
      </c>
      <c r="E171" s="7" t="inlineStr">
        <is>
          <t>trend</t>
        </is>
      </c>
      <c r="F171" s="7" t="inlineStr">
        <is>
          <t>artifacts/experiments/gt-primary-2026-10-13-fusion/error_by_trend.json</t>
        </is>
      </c>
      <c r="G171" s="7" t="inlineStr">
        <is>
          <t>/rows[horizon=60&amp;trend=rising_fast]/origins</t>
        </is>
      </c>
      <c r="H171" s="7" t="inlineStr">
        <is>
          <t>2026-10-20T17:41:13+00:00</t>
        </is>
      </c>
      <c r="I171" s="7" t="inlineStr">
        <is>
          <t>5c9d1104dee3a8b8b5e94771c2e92b94f16465cb19ceacc791d6db065a976c24</t>
        </is>
      </c>
      <c r="J171" s="7" t="inlineStr">
        <is>
          <t>scripts/error_by_trend.py</t>
        </is>
      </c>
      <c r="K171" s="7" t="inlineStr">
        <is>
          <t>local / reproducible-only (git-ignored)</t>
        </is>
      </c>
    </row>
    <row r="172">
      <c r="A172" s="7" t="inlineStr">
        <is>
          <t>tr.bias_high60</t>
        </is>
      </c>
      <c r="B172" s="7" t="inlineStr">
        <is>
          <t>Validation segment, 60 min: mean signed error (forecast − actual) when actual &gt; 180</t>
        </is>
      </c>
      <c r="C172" s="8" t="n">
        <v>-16.91941774966915</v>
      </c>
      <c r="D172" s="7" t="inlineStr">
        <is>
          <t>mg/dL</t>
        </is>
      </c>
      <c r="E172" s="7" t="inlineStr">
        <is>
          <t>trend</t>
        </is>
      </c>
      <c r="F172" s="7" t="inlineStr">
        <is>
          <t>artifacts/experiments/gt-primary-2026-10-13-fusion/error_by_trend.json</t>
        </is>
      </c>
      <c r="G172" s="7" t="inlineStr">
        <is>
          <t>/rows[horizon=60&amp;trend=all]/mean_signed_error_target_above_180</t>
        </is>
      </c>
      <c r="H172" s="7" t="inlineStr">
        <is>
          <t>2026-10-20T17:41:13+00:00</t>
        </is>
      </c>
      <c r="I172" s="7" t="inlineStr">
        <is>
          <t>5c9d1104dee3a8b8b5e94771c2e92b94f16465cb19ceacc791d6db065a976c24</t>
        </is>
      </c>
      <c r="J172" s="7" t="inlineStr">
        <is>
          <t>scripts/error_by_trend.py</t>
        </is>
      </c>
      <c r="K172" s="7" t="inlineStr">
        <is>
          <t>local / reproducible-only (git-ignored)</t>
        </is>
      </c>
    </row>
    <row r="173">
      <c r="A173" s="7" t="inlineStr">
        <is>
          <t>parity.compared</t>
        </is>
      </c>
      <c r="B173" s="7" t="inlineStr">
        <is>
          <t>Saved app-vs-evaluation parity run: compared</t>
        </is>
      </c>
      <c r="C173" s="7" t="n">
        <v>15440</v>
      </c>
      <c r="D173" s="7" t="inlineStr">
        <is>
          <t>forecasts</t>
        </is>
      </c>
      <c r="E173" s="7" t="inlineStr">
        <is>
          <t>parity</t>
        </is>
      </c>
      <c r="F173" s="7" t="inlineStr">
        <is>
          <t>reports/serving_parity.json</t>
        </is>
      </c>
      <c r="G173" s="7" t="inlineStr">
        <is>
          <t>/compared</t>
        </is>
      </c>
      <c r="H173" s="7" t="inlineStr">
        <is>
          <t>2026-10-20T17:44:10+00:00</t>
        </is>
      </c>
      <c r="I173" s="7" t="inlineStr">
        <is>
          <t>d43b660ed9cc0189f9f5b34b6e997ce700339ddea80c1a60657519b06ea49664</t>
        </is>
      </c>
      <c r="J173" s="7" t="inlineStr">
        <is>
          <t>scripts/serving_parity.py</t>
        </is>
      </c>
      <c r="K173" s="7" t="inlineStr">
        <is>
          <t>public in repo (tracked)</t>
        </is>
      </c>
    </row>
    <row r="174">
      <c r="A174" s="7" t="inlineStr">
        <is>
          <t>parity.offline_forecasts</t>
        </is>
      </c>
      <c r="B174" s="7" t="inlineStr">
        <is>
          <t>Saved app-vs-evaluation parity run: offline_forecasts</t>
        </is>
      </c>
      <c r="C174" s="7" t="n">
        <v>15440</v>
      </c>
      <c r="D174" s="7" t="inlineStr">
        <is>
          <t>forecasts</t>
        </is>
      </c>
      <c r="E174" s="7" t="inlineStr">
        <is>
          <t>parity</t>
        </is>
      </c>
      <c r="F174" s="7" t="inlineStr">
        <is>
          <t>reports/serving_parity.json</t>
        </is>
      </c>
      <c r="G174" s="7" t="inlineStr">
        <is>
          <t>/offline_forecasts</t>
        </is>
      </c>
      <c r="H174" s="7" t="inlineStr">
        <is>
          <t>2026-10-20T17:44:10+00:00</t>
        </is>
      </c>
      <c r="I174" s="7" t="inlineStr">
        <is>
          <t>d43b660ed9cc0189f9f5b34b6e997ce700339ddea80c1a60657519b06ea49664</t>
        </is>
      </c>
      <c r="J174" s="7" t="inlineStr">
        <is>
          <t>scripts/serving_parity.py</t>
        </is>
      </c>
      <c r="K174" s="7" t="inlineStr">
        <is>
          <t>public in repo (tracked)</t>
        </is>
      </c>
    </row>
    <row r="175">
      <c r="A175" s="7" t="inlineStr">
        <is>
          <t>parity.missing_online</t>
        </is>
      </c>
      <c r="B175" s="7" t="inlineStr">
        <is>
          <t>Saved app-vs-evaluation parity run: missing_online</t>
        </is>
      </c>
      <c r="C175" s="7" t="n">
        <v>0</v>
      </c>
      <c r="D175" s="7" t="inlineStr">
        <is>
          <t>forecasts</t>
        </is>
      </c>
      <c r="E175" s="7" t="inlineStr">
        <is>
          <t>parity</t>
        </is>
      </c>
      <c r="F175" s="7" t="inlineStr">
        <is>
          <t>reports/serving_parity.json</t>
        </is>
      </c>
      <c r="G175" s="7" t="inlineStr">
        <is>
          <t>/missing_online</t>
        </is>
      </c>
      <c r="H175" s="7" t="inlineStr">
        <is>
          <t>2026-10-20T17:44:10+00:00</t>
        </is>
      </c>
      <c r="I175" s="7" t="inlineStr">
        <is>
          <t>d43b660ed9cc0189f9f5b34b6e997ce700339ddea80c1a60657519b06ea49664</t>
        </is>
      </c>
      <c r="J175" s="7" t="inlineStr">
        <is>
          <t>scripts/serving_parity.py</t>
        </is>
      </c>
      <c r="K175" s="7" t="inlineStr">
        <is>
          <t>public in repo (tracked)</t>
        </is>
      </c>
    </row>
    <row r="176">
      <c r="A176" s="7" t="inlineStr">
        <is>
          <t>parity.over_tolerance</t>
        </is>
      </c>
      <c r="B176" s="7" t="inlineStr">
        <is>
          <t>Saved app-vs-evaluation parity run: over_tolerance</t>
        </is>
      </c>
      <c r="C176" s="7" t="n">
        <v>0</v>
      </c>
      <c r="D176" s="7" t="inlineStr">
        <is>
          <t>forecasts</t>
        </is>
      </c>
      <c r="E176" s="7" t="inlineStr">
        <is>
          <t>parity</t>
        </is>
      </c>
      <c r="F176" s="7" t="inlineStr">
        <is>
          <t>reports/serving_parity.json</t>
        </is>
      </c>
      <c r="G176" s="7" t="inlineStr">
        <is>
          <t>/over_tolerance</t>
        </is>
      </c>
      <c r="H176" s="7" t="inlineStr">
        <is>
          <t>2026-10-20T17:44:10+00:00</t>
        </is>
      </c>
      <c r="I176" s="7" t="inlineStr">
        <is>
          <t>d43b660ed9cc0189f9f5b34b6e997ce700339ddea80c1a60657519b06ea49664</t>
        </is>
      </c>
      <c r="J176" s="7" t="inlineStr">
        <is>
          <t>scripts/serving_parity.py</t>
        </is>
      </c>
      <c r="K176" s="7" t="inlineStr">
        <is>
          <t>public in repo (tracked)</t>
        </is>
      </c>
    </row>
    <row r="177">
      <c r="A177" s="7" t="inlineStr">
        <is>
          <t>parity.tolerance_mg_dl</t>
        </is>
      </c>
      <c r="B177" s="7" t="inlineStr">
        <is>
          <t>Saved app-vs-evaluation parity run: tolerance_mg_dl</t>
        </is>
      </c>
      <c r="C177" s="8" t="n">
        <v>0.05</v>
      </c>
      <c r="D177" s="7" t="inlineStr">
        <is>
          <t>mg/dL</t>
        </is>
      </c>
      <c r="E177" s="7" t="inlineStr">
        <is>
          <t>parity</t>
        </is>
      </c>
      <c r="F177" s="7" t="inlineStr">
        <is>
          <t>reports/serving_parity.json</t>
        </is>
      </c>
      <c r="G177" s="7" t="inlineStr">
        <is>
          <t>/tolerance_mg_dl</t>
        </is>
      </c>
      <c r="H177" s="7" t="inlineStr">
        <is>
          <t>2026-10-20T17:44:10+00:00</t>
        </is>
      </c>
      <c r="I177" s="7" t="inlineStr">
        <is>
          <t>d43b660ed9cc0189f9f5b34b6e997ce700339ddea80c1a60657519b06ea49664</t>
        </is>
      </c>
      <c r="J177" s="7" t="inlineStr">
        <is>
          <t>scripts/serving_parity.py</t>
        </is>
      </c>
      <c r="K177" s="7" t="inlineStr">
        <is>
          <t>public in repo (tracked)</t>
        </is>
      </c>
    </row>
    <row r="178">
      <c r="A178" s="7" t="inlineStr">
        <is>
          <t>parity.max_abs_diff_mg_dl</t>
        </is>
      </c>
      <c r="B178" s="7" t="inlineStr">
        <is>
          <t>Saved app-vs-evaluation parity run: max_abs_diff_mg_dl</t>
        </is>
      </c>
      <c r="C178" s="8" t="n">
        <v>0.04999756019785195</v>
      </c>
      <c r="D178" s="7" t="inlineStr">
        <is>
          <t>mg/dL</t>
        </is>
      </c>
      <c r="E178" s="7" t="inlineStr">
        <is>
          <t>parity</t>
        </is>
      </c>
      <c r="F178" s="7" t="inlineStr">
        <is>
          <t>reports/serving_parity.json</t>
        </is>
      </c>
      <c r="G178" s="7" t="inlineStr">
        <is>
          <t>/max_abs_diff_mg_dl</t>
        </is>
      </c>
      <c r="H178" s="7" t="inlineStr">
        <is>
          <t>2026-10-20T17:44:10+00:00</t>
        </is>
      </c>
      <c r="I178" s="7" t="inlineStr">
        <is>
          <t>d43b660ed9cc0189f9f5b34b6e997ce700339ddea80c1a60657519b06ea49664</t>
        </is>
      </c>
      <c r="J178" s="7" t="inlineStr">
        <is>
          <t>scripts/serving_parity.py</t>
        </is>
      </c>
      <c r="K178" s="7" t="inlineStr">
        <is>
          <t>public in repo (tracked)</t>
        </is>
      </c>
    </row>
    <row r="179">
      <c r="A179" s="7" t="inlineStr">
        <is>
          <t>parity.participants</t>
        </is>
      </c>
      <c r="B179" s="7" t="inlineStr">
        <is>
          <t>Saved app-vs-evaluation parity run: participants</t>
        </is>
      </c>
      <c r="C179" s="7" t="n">
        <v>14</v>
      </c>
      <c r="D179" s="7" t="inlineStr">
        <is>
          <t>people</t>
        </is>
      </c>
      <c r="E179" s="7" t="inlineStr">
        <is>
          <t>parity</t>
        </is>
      </c>
      <c r="F179" s="7" t="inlineStr">
        <is>
          <t>reports/serving_parity.json</t>
        </is>
      </c>
      <c r="G179" s="7" t="inlineStr">
        <is>
          <t>/participants</t>
        </is>
      </c>
      <c r="H179" s="7" t="inlineStr">
        <is>
          <t>2026-10-20T17:44:10+00:00</t>
        </is>
      </c>
      <c r="I179" s="7" t="inlineStr">
        <is>
          <t>d43b660ed9cc0189f9f5b34b6e997ce700339ddea80c1a60657519b06ea49664</t>
        </is>
      </c>
      <c r="J179" s="7" t="inlineStr">
        <is>
          <t>scripts/serving_parity.py</t>
        </is>
      </c>
      <c r="K179" s="7" t="inlineStr">
        <is>
          <t>public in repo (tracked)</t>
        </is>
      </c>
    </row>
    <row r="180">
      <c r="A180" s="7" t="inlineStr">
        <is>
          <t>parity.outcome</t>
        </is>
      </c>
      <c r="B180" s="7" t="inlineStr">
        <is>
          <t>Saved app-vs-evaluation parity run: outcome</t>
        </is>
      </c>
      <c r="C180" s="7" t="inlineStr">
        <is>
          <t>pass</t>
        </is>
      </c>
      <c r="D180" s="7" t="inlineStr">
        <is>
          <t>text</t>
        </is>
      </c>
      <c r="E180" s="7" t="inlineStr">
        <is>
          <t>parity</t>
        </is>
      </c>
      <c r="F180" s="7" t="inlineStr">
        <is>
          <t>reports/serving_parity.json</t>
        </is>
      </c>
      <c r="G180" s="7" t="inlineStr">
        <is>
          <t>/outcome</t>
        </is>
      </c>
      <c r="H180" s="7" t="inlineStr">
        <is>
          <t>2026-10-20T17:44:10+00:00</t>
        </is>
      </c>
      <c r="I180" s="7" t="inlineStr">
        <is>
          <t>d43b660ed9cc0189f9f5b34b6e997ce700339ddea80c1a60657519b06ea49664</t>
        </is>
      </c>
      <c r="J180" s="7" t="inlineStr">
        <is>
          <t>scripts/serving_parity.py</t>
        </is>
      </c>
      <c r="K180" s="7" t="inlineStr">
        <is>
          <t>public in repo (tracked)</t>
        </is>
      </c>
    </row>
    <row r="181">
      <c r="A181" s="7" t="inlineStr">
        <is>
          <t>parity.model_version</t>
        </is>
      </c>
      <c r="B181" s="7" t="inlineStr">
        <is>
          <t>Saved app-vs-evaluation parity run: model_version</t>
        </is>
      </c>
      <c r="C181" s="7" t="inlineStr">
        <is>
          <t>lightgbm.dyn-prof-v2.gt-primary-2026-10-13-fusion</t>
        </is>
      </c>
      <c r="D181" s="7" t="inlineStr">
        <is>
          <t>text</t>
        </is>
      </c>
      <c r="E181" s="7" t="inlineStr">
        <is>
          <t>parity</t>
        </is>
      </c>
      <c r="F181" s="7" t="inlineStr">
        <is>
          <t>reports/serving_parity.json</t>
        </is>
      </c>
      <c r="G181" s="7" t="inlineStr">
        <is>
          <t>/model_version</t>
        </is>
      </c>
      <c r="H181" s="7" t="inlineStr">
        <is>
          <t>2026-10-20T17:44:10+00:00</t>
        </is>
      </c>
      <c r="I181" s="7" t="inlineStr">
        <is>
          <t>d43b660ed9cc0189f9f5b34b6e997ce700339ddea80c1a60657519b06ea49664</t>
        </is>
      </c>
      <c r="J181" s="7" t="inlineStr">
        <is>
          <t>scripts/serving_parity.py</t>
        </is>
      </c>
      <c r="K181" s="7" t="inlineStr">
        <is>
          <t>public in repo (tracked)</t>
        </is>
      </c>
    </row>
    <row r="182">
      <c r="A182" s="7" t="inlineStr">
        <is>
          <t>parity_final.compared</t>
        </is>
      </c>
      <c r="B182" s="7" t="inlineStr">
        <is>
          <t>Parity re-run in the final verification ledger: compared</t>
        </is>
      </c>
      <c r="C182" s="7" t="n">
        <v>15440</v>
      </c>
      <c r="D182" s="7" t="inlineStr">
        <is>
          <t>forecasts</t>
        </is>
      </c>
      <c r="E182" s="7" t="inlineStr">
        <is>
          <t>parity_final</t>
        </is>
      </c>
      <c r="F182" s="7" t="inlineStr">
        <is>
          <t>reports/verification/final_2026-10-22_145326Z/parity/serving_parity.json</t>
        </is>
      </c>
      <c r="G182" s="7" t="inlineStr">
        <is>
          <t>/compared</t>
        </is>
      </c>
      <c r="H182" s="7" t="inlineStr">
        <is>
          <t>2026-10-22T15:02:11+00:00</t>
        </is>
      </c>
      <c r="I182" s="7" t="inlineStr">
        <is>
          <t>390c76b31f1d8546289b6dcbdca99e37c0ebe721e4b28199783060e50e1de489</t>
        </is>
      </c>
      <c r="J182" s="7" t="inlineStr">
        <is>
          <t>scripts/serving_parity.py</t>
        </is>
      </c>
      <c r="K182" s="7" t="inlineStr">
        <is>
          <t>public in repo (tracked)</t>
        </is>
      </c>
    </row>
    <row r="183">
      <c r="A183" s="7" t="inlineStr">
        <is>
          <t>parity_final.offline_forecasts</t>
        </is>
      </c>
      <c r="B183" s="7" t="inlineStr">
        <is>
          <t>Parity re-run in the final verification ledger: offline_forecasts</t>
        </is>
      </c>
      <c r="C183" s="7" t="n">
        <v>15440</v>
      </c>
      <c r="D183" s="7" t="inlineStr">
        <is>
          <t>forecasts</t>
        </is>
      </c>
      <c r="E183" s="7" t="inlineStr">
        <is>
          <t>parity_final</t>
        </is>
      </c>
      <c r="F183" s="7" t="inlineStr">
        <is>
          <t>reports/verification/final_2026-10-22_145326Z/parity/serving_parity.json</t>
        </is>
      </c>
      <c r="G183" s="7" t="inlineStr">
        <is>
          <t>/offline_forecasts</t>
        </is>
      </c>
      <c r="H183" s="7" t="inlineStr">
        <is>
          <t>2026-10-22T15:02:11+00:00</t>
        </is>
      </c>
      <c r="I183" s="7" t="inlineStr">
        <is>
          <t>390c76b31f1d8546289b6dcbdca99e37c0ebe721e4b28199783060e50e1de489</t>
        </is>
      </c>
      <c r="J183" s="7" t="inlineStr">
        <is>
          <t>scripts/serving_parity.py</t>
        </is>
      </c>
      <c r="K183" s="7" t="inlineStr">
        <is>
          <t>public in repo (tracked)</t>
        </is>
      </c>
    </row>
    <row r="184">
      <c r="A184" s="7" t="inlineStr">
        <is>
          <t>parity_final.missing_online</t>
        </is>
      </c>
      <c r="B184" s="7" t="inlineStr">
        <is>
          <t>Parity re-run in the final verification ledger: missing_online</t>
        </is>
      </c>
      <c r="C184" s="7" t="n">
        <v>0</v>
      </c>
      <c r="D184" s="7" t="inlineStr">
        <is>
          <t>forecasts</t>
        </is>
      </c>
      <c r="E184" s="7" t="inlineStr">
        <is>
          <t>parity_final</t>
        </is>
      </c>
      <c r="F184" s="7" t="inlineStr">
        <is>
          <t>reports/verification/final_2026-10-22_145326Z/parity/serving_parity.json</t>
        </is>
      </c>
      <c r="G184" s="7" t="inlineStr">
        <is>
          <t>/missing_online</t>
        </is>
      </c>
      <c r="H184" s="7" t="inlineStr">
        <is>
          <t>2026-10-22T15:02:11+00:00</t>
        </is>
      </c>
      <c r="I184" s="7" t="inlineStr">
        <is>
          <t>390c76b31f1d8546289b6dcbdca99e37c0ebe721e4b28199783060e50e1de489</t>
        </is>
      </c>
      <c r="J184" s="7" t="inlineStr">
        <is>
          <t>scripts/serving_parity.py</t>
        </is>
      </c>
      <c r="K184" s="7" t="inlineStr">
        <is>
          <t>public in repo (tracked)</t>
        </is>
      </c>
    </row>
    <row r="185">
      <c r="A185" s="7" t="inlineStr">
        <is>
          <t>parity_final.over_tolerance</t>
        </is>
      </c>
      <c r="B185" s="7" t="inlineStr">
        <is>
          <t>Parity re-run in the final verification ledger: over_tolerance</t>
        </is>
      </c>
      <c r="C185" s="7" t="n">
        <v>0</v>
      </c>
      <c r="D185" s="7" t="inlineStr">
        <is>
          <t>forecasts</t>
        </is>
      </c>
      <c r="E185" s="7" t="inlineStr">
        <is>
          <t>parity_final</t>
        </is>
      </c>
      <c r="F185" s="7" t="inlineStr">
        <is>
          <t>reports/verification/final_2026-10-22_145326Z/parity/serving_parity.json</t>
        </is>
      </c>
      <c r="G185" s="7" t="inlineStr">
        <is>
          <t>/over_tolerance</t>
        </is>
      </c>
      <c r="H185" s="7" t="inlineStr">
        <is>
          <t>2026-10-22T15:02:11+00:00</t>
        </is>
      </c>
      <c r="I185" s="7" t="inlineStr">
        <is>
          <t>390c76b31f1d8546289b6dcbdca99e37c0ebe721e4b28199783060e50e1de489</t>
        </is>
      </c>
      <c r="J185" s="7" t="inlineStr">
        <is>
          <t>scripts/serving_parity.py</t>
        </is>
      </c>
      <c r="K185" s="7" t="inlineStr">
        <is>
          <t>public in repo (tracked)</t>
        </is>
      </c>
    </row>
    <row r="186">
      <c r="A186" s="7" t="inlineStr">
        <is>
          <t>parity_final.tolerance_mg_dl</t>
        </is>
      </c>
      <c r="B186" s="7" t="inlineStr">
        <is>
          <t>Parity re-run in the final verification ledger: tolerance_mg_dl</t>
        </is>
      </c>
      <c r="C186" s="8" t="n">
        <v>0.05</v>
      </c>
      <c r="D186" s="7" t="inlineStr">
        <is>
          <t>mg/dL</t>
        </is>
      </c>
      <c r="E186" s="7" t="inlineStr">
        <is>
          <t>parity_final</t>
        </is>
      </c>
      <c r="F186" s="7" t="inlineStr">
        <is>
          <t>reports/verification/final_2026-10-22_145326Z/parity/serving_parity.json</t>
        </is>
      </c>
      <c r="G186" s="7" t="inlineStr">
        <is>
          <t>/tolerance_mg_dl</t>
        </is>
      </c>
      <c r="H186" s="7" t="inlineStr">
        <is>
          <t>2026-10-22T15:02:11+00:00</t>
        </is>
      </c>
      <c r="I186" s="7" t="inlineStr">
        <is>
          <t>390c76b31f1d8546289b6dcbdca99e37c0ebe721e4b28199783060e50e1de489</t>
        </is>
      </c>
      <c r="J186" s="7" t="inlineStr">
        <is>
          <t>scripts/serving_parity.py</t>
        </is>
      </c>
      <c r="K186" s="7" t="inlineStr">
        <is>
          <t>public in repo (tracked)</t>
        </is>
      </c>
    </row>
    <row r="187">
      <c r="A187" s="7" t="inlineStr">
        <is>
          <t>parity_final.max_abs_diff_mg_dl</t>
        </is>
      </c>
      <c r="B187" s="7" t="inlineStr">
        <is>
          <t>Parity re-run in the final verification ledger: max_abs_diff_mg_dl</t>
        </is>
      </c>
      <c r="C187" s="8" t="n">
        <v>0.04999756019785195</v>
      </c>
      <c r="D187" s="7" t="inlineStr">
        <is>
          <t>mg/dL</t>
        </is>
      </c>
      <c r="E187" s="7" t="inlineStr">
        <is>
          <t>parity_final</t>
        </is>
      </c>
      <c r="F187" s="7" t="inlineStr">
        <is>
          <t>reports/verification/final_2026-10-22_145326Z/parity/serving_parity.json</t>
        </is>
      </c>
      <c r="G187" s="7" t="inlineStr">
        <is>
          <t>/max_abs_diff_mg_dl</t>
        </is>
      </c>
      <c r="H187" s="7" t="inlineStr">
        <is>
          <t>2026-10-22T15:02:11+00:00</t>
        </is>
      </c>
      <c r="I187" s="7" t="inlineStr">
        <is>
          <t>390c76b31f1d8546289b6dcbdca99e37c0ebe721e4b28199783060e50e1de489</t>
        </is>
      </c>
      <c r="J187" s="7" t="inlineStr">
        <is>
          <t>scripts/serving_parity.py</t>
        </is>
      </c>
      <c r="K187" s="7" t="inlineStr">
        <is>
          <t>public in repo (tracked)</t>
        </is>
      </c>
    </row>
    <row r="188">
      <c r="A188" s="7" t="inlineStr">
        <is>
          <t>parity_final.participants</t>
        </is>
      </c>
      <c r="B188" s="7" t="inlineStr">
        <is>
          <t>Parity re-run in the final verification ledger: participants</t>
        </is>
      </c>
      <c r="C188" s="7" t="n">
        <v>14</v>
      </c>
      <c r="D188" s="7" t="inlineStr">
        <is>
          <t>people</t>
        </is>
      </c>
      <c r="E188" s="7" t="inlineStr">
        <is>
          <t>parity_final</t>
        </is>
      </c>
      <c r="F188" s="7" t="inlineStr">
        <is>
          <t>reports/verification/final_2026-10-22_145326Z/parity/serving_parity.json</t>
        </is>
      </c>
      <c r="G188" s="7" t="inlineStr">
        <is>
          <t>/participants</t>
        </is>
      </c>
      <c r="H188" s="7" t="inlineStr">
        <is>
          <t>2026-10-22T15:02:11+00:00</t>
        </is>
      </c>
      <c r="I188" s="7" t="inlineStr">
        <is>
          <t>390c76b31f1d8546289b6dcbdca99e37c0ebe721e4b28199783060e50e1de489</t>
        </is>
      </c>
      <c r="J188" s="7" t="inlineStr">
        <is>
          <t>scripts/serving_parity.py</t>
        </is>
      </c>
      <c r="K188" s="7" t="inlineStr">
        <is>
          <t>public in repo (tracked)</t>
        </is>
      </c>
    </row>
    <row r="189">
      <c r="A189" s="7" t="inlineStr">
        <is>
          <t>parity_final.outcome</t>
        </is>
      </c>
      <c r="B189" s="7" t="inlineStr">
        <is>
          <t>Parity re-run in the final verification ledger: outcome</t>
        </is>
      </c>
      <c r="C189" s="7" t="inlineStr">
        <is>
          <t>pass</t>
        </is>
      </c>
      <c r="D189" s="7" t="inlineStr">
        <is>
          <t>text</t>
        </is>
      </c>
      <c r="E189" s="7" t="inlineStr">
        <is>
          <t>parity_final</t>
        </is>
      </c>
      <c r="F189" s="7" t="inlineStr">
        <is>
          <t>reports/verification/final_2026-10-22_145326Z/parity/serving_parity.json</t>
        </is>
      </c>
      <c r="G189" s="7" t="inlineStr">
        <is>
          <t>/outcome</t>
        </is>
      </c>
      <c r="H189" s="7" t="inlineStr">
        <is>
          <t>2026-10-22T15:02:11+00:00</t>
        </is>
      </c>
      <c r="I189" s="7" t="inlineStr">
        <is>
          <t>390c76b31f1d8546289b6dcbdca99e37c0ebe721e4b28199783060e50e1de489</t>
        </is>
      </c>
      <c r="J189" s="7" t="inlineStr">
        <is>
          <t>scripts/serving_parity.py</t>
        </is>
      </c>
      <c r="K189" s="7" t="inlineStr">
        <is>
          <t>public in repo (tracked)</t>
        </is>
      </c>
    </row>
    <row r="190">
      <c r="A190" s="7" t="inlineStr">
        <is>
          <t>parity_final.model_version</t>
        </is>
      </c>
      <c r="B190" s="7" t="inlineStr">
        <is>
          <t>Parity re-run in the final verification ledger: model_version</t>
        </is>
      </c>
      <c r="C190" s="7" t="inlineStr">
        <is>
          <t>lightgbm.dyn-prof-v2.gt-primary-2026-10-13-fusion</t>
        </is>
      </c>
      <c r="D190" s="7" t="inlineStr">
        <is>
          <t>text</t>
        </is>
      </c>
      <c r="E190" s="7" t="inlineStr">
        <is>
          <t>parity_final</t>
        </is>
      </c>
      <c r="F190" s="7" t="inlineStr">
        <is>
          <t>reports/verification/final_2026-10-22_145326Z/parity/serving_parity.json</t>
        </is>
      </c>
      <c r="G190" s="7" t="inlineStr">
        <is>
          <t>/model_version</t>
        </is>
      </c>
      <c r="H190" s="7" t="inlineStr">
        <is>
          <t>2026-10-22T15:02:11+00:00</t>
        </is>
      </c>
      <c r="I190" s="7" t="inlineStr">
        <is>
          <t>390c76b31f1d8546289b6dcbdca99e37c0ebe721e4b28199783060e50e1de489</t>
        </is>
      </c>
      <c r="J190" s="7" t="inlineStr">
        <is>
          <t>scripts/serving_parity.py</t>
        </is>
      </c>
      <c r="K190" s="7" t="inlineStr">
        <is>
          <t>public in repo (tracked)</t>
        </is>
      </c>
    </row>
    <row r="191">
      <c r="A191" s="7" t="inlineStr">
        <is>
          <t>nest.sel.mae30</t>
        </is>
      </c>
      <c r="B191" s="7" t="inlineStr">
        <is>
          <t>Nested internal (14 people held out once): selected final, 30 min MAE</t>
        </is>
      </c>
      <c r="C191" s="8" t="n">
        <v>13.884</v>
      </c>
      <c r="D191" s="7" t="inlineStr">
        <is>
          <t>mg/dL</t>
        </is>
      </c>
      <c r="E191" s="7" t="inlineStr">
        <is>
          <t>nested</t>
        </is>
      </c>
      <c r="F191" s="7" t="inlineStr">
        <is>
          <t>artifacts/research/gt-nested-2026-10-12-v1/report.json</t>
        </is>
      </c>
      <c r="G191" s="7" t="inlineStr">
        <is>
          <t>/tracks/multimodal_5min/pipelines[pipeline=selected&amp;mode=final]/horizons/30/mae</t>
        </is>
      </c>
      <c r="H191" s="7" t="inlineStr">
        <is>
          <t>2026-10-12T13:28:51+00:00</t>
        </is>
      </c>
      <c r="I191" s="7" t="inlineStr">
        <is>
          <t>368c28117b15d8092b555cf31176aabdd9d8f3bc3bf5137097ef1ce6fec6466b</t>
        </is>
      </c>
      <c r="J191" s="7" t="inlineStr">
        <is>
          <t>protocol configs/experiments/gt-nested-2026-10-12-v1.yaml (first commit 90121a4 2026-10-12T20:39:33+05:30)</t>
        </is>
      </c>
      <c r="K191" s="7" t="inlineStr">
        <is>
          <t>local / reproducible-only (git-ignored)</t>
        </is>
      </c>
    </row>
    <row r="192">
      <c r="A192" s="7" t="inlineStr">
        <is>
          <t>nest.sel.mae60</t>
        </is>
      </c>
      <c r="B192" s="7" t="inlineStr">
        <is>
          <t>Nested internal (14 people held out once): selected final, 60 min MAE</t>
        </is>
      </c>
      <c r="C192" s="8" t="n">
        <v>22.305</v>
      </c>
      <c r="D192" s="7" t="inlineStr">
        <is>
          <t>mg/dL</t>
        </is>
      </c>
      <c r="E192" s="7" t="inlineStr">
        <is>
          <t>nested</t>
        </is>
      </c>
      <c r="F192" s="7" t="inlineStr">
        <is>
          <t>artifacts/research/gt-nested-2026-10-12-v1/report.json</t>
        </is>
      </c>
      <c r="G192" s="7" t="inlineStr">
        <is>
          <t>/tracks/multimodal_5min/pipelines[pipeline=selected&amp;mode=final]/horizons/60/mae</t>
        </is>
      </c>
      <c r="H192" s="7" t="inlineStr">
        <is>
          <t>2026-10-12T13:28:51+00:00</t>
        </is>
      </c>
      <c r="I192" s="7" t="inlineStr">
        <is>
          <t>368c28117b15d8092b555cf31176aabdd9d8f3bc3bf5137097ef1ce6fec6466b</t>
        </is>
      </c>
      <c r="J192" s="7" t="inlineStr">
        <is>
          <t>protocol configs/experiments/gt-nested-2026-10-12-v1.yaml (first commit 90121a4 2026-10-12T20:39:33+05:30)</t>
        </is>
      </c>
      <c r="K192" s="7" t="inlineStr">
        <is>
          <t>local / reproducible-only (git-ignored)</t>
        </is>
      </c>
    </row>
    <row r="193">
      <c r="A193" s="7" t="inlineStr">
        <is>
          <t>nest.pers.mae30</t>
        </is>
      </c>
      <c r="B193" s="7" t="inlineStr">
        <is>
          <t>Nested internal (14 people held out once): persistence:- off, 30 min MAE</t>
        </is>
      </c>
      <c r="C193" s="8" t="n">
        <v>15.339</v>
      </c>
      <c r="D193" s="7" t="inlineStr">
        <is>
          <t>mg/dL</t>
        </is>
      </c>
      <c r="E193" s="7" t="inlineStr">
        <is>
          <t>nested</t>
        </is>
      </c>
      <c r="F193" s="7" t="inlineStr">
        <is>
          <t>artifacts/research/gt-nested-2026-10-12-v1/report.json</t>
        </is>
      </c>
      <c r="G193" s="7" t="inlineStr">
        <is>
          <t>/tracks/multimodal_5min/pipelines[pipeline=persistence:-&amp;mode=off]/horizons/30/mae</t>
        </is>
      </c>
      <c r="H193" s="7" t="inlineStr">
        <is>
          <t>2026-10-12T13:28:51+00:00</t>
        </is>
      </c>
      <c r="I193" s="7" t="inlineStr">
        <is>
          <t>368c28117b15d8092b555cf31176aabdd9d8f3bc3bf5137097ef1ce6fec6466b</t>
        </is>
      </c>
      <c r="J193" s="7" t="inlineStr">
        <is>
          <t>protocol configs/experiments/gt-nested-2026-10-12-v1.yaml (first commit 90121a4 2026-10-12T20:39:33+05:30)</t>
        </is>
      </c>
      <c r="K193" s="7" t="inlineStr">
        <is>
          <t>local / reproducible-only (git-ignored)</t>
        </is>
      </c>
    </row>
    <row r="194">
      <c r="A194" s="7" t="inlineStr">
        <is>
          <t>nest.pers.mae60</t>
        </is>
      </c>
      <c r="B194" s="7" t="inlineStr">
        <is>
          <t>Nested internal (14 people held out once): persistence:- off, 60 min MAE</t>
        </is>
      </c>
      <c r="C194" s="8" t="n">
        <v>24.467</v>
      </c>
      <c r="D194" s="7" t="inlineStr">
        <is>
          <t>mg/dL</t>
        </is>
      </c>
      <c r="E194" s="7" t="inlineStr">
        <is>
          <t>nested</t>
        </is>
      </c>
      <c r="F194" s="7" t="inlineStr">
        <is>
          <t>artifacts/research/gt-nested-2026-10-12-v1/report.json</t>
        </is>
      </c>
      <c r="G194" s="7" t="inlineStr">
        <is>
          <t>/tracks/multimodal_5min/pipelines[pipeline=persistence:-&amp;mode=off]/horizons/60/mae</t>
        </is>
      </c>
      <c r="H194" s="7" t="inlineStr">
        <is>
          <t>2026-10-12T13:28:51+00:00</t>
        </is>
      </c>
      <c r="I194" s="7" t="inlineStr">
        <is>
          <t>368c28117b15d8092b555cf31176aabdd9d8f3bc3bf5137097ef1ce6fec6466b</t>
        </is>
      </c>
      <c r="J194" s="7" t="inlineStr">
        <is>
          <t>protocol configs/experiments/gt-nested-2026-10-12-v1.yaml (first commit 90121a4 2026-10-12T20:39:33+05:30)</t>
        </is>
      </c>
      <c r="K194" s="7" t="inlineStr">
        <is>
          <t>local / reproducible-only (git-ignored)</t>
        </is>
      </c>
    </row>
    <row r="195">
      <c r="A195" s="7" t="inlineStr">
        <is>
          <t>nest.v2.mae30</t>
        </is>
      </c>
      <c r="B195" s="7" t="inlineStr">
        <is>
          <t>Nested internal (14 people held out once): v2_recipe:dyn-v2 v2_policy, 30 min MAE</t>
        </is>
      </c>
      <c r="C195" s="8" t="n">
        <v>14.52</v>
      </c>
      <c r="D195" s="7" t="inlineStr">
        <is>
          <t>mg/dL</t>
        </is>
      </c>
      <c r="E195" s="7" t="inlineStr">
        <is>
          <t>nested</t>
        </is>
      </c>
      <c r="F195" s="7" t="inlineStr">
        <is>
          <t>artifacts/research/gt-nested-2026-10-12-v1/report.json</t>
        </is>
      </c>
      <c r="G195" s="7" t="inlineStr">
        <is>
          <t>/tracks/multimodal_5min/pipelines[pipeline=v2_recipe:dyn-v2&amp;mode=v2_policy]/horizons/30/mae</t>
        </is>
      </c>
      <c r="H195" s="7" t="inlineStr">
        <is>
          <t>2026-10-12T13:28:51+00:00</t>
        </is>
      </c>
      <c r="I195" s="7" t="inlineStr">
        <is>
          <t>368c28117b15d8092b555cf31176aabdd9d8f3bc3bf5137097ef1ce6fec6466b</t>
        </is>
      </c>
      <c r="J195" s="7" t="inlineStr">
        <is>
          <t>protocol configs/experiments/gt-nested-2026-10-12-v1.yaml (first commit 90121a4 2026-10-12T20:39:33+05:30)</t>
        </is>
      </c>
      <c r="K195" s="7" t="inlineStr">
        <is>
          <t>local / reproducible-only (git-ignored)</t>
        </is>
      </c>
    </row>
    <row r="196">
      <c r="A196" s="7" t="inlineStr">
        <is>
          <t>nest.v2.mae60</t>
        </is>
      </c>
      <c r="B196" s="7" t="inlineStr">
        <is>
          <t>Nested internal (14 people held out once): v2_recipe:dyn-v2 v2_policy, 60 min MAE</t>
        </is>
      </c>
      <c r="C196" s="8" t="n">
        <v>24.253</v>
      </c>
      <c r="D196" s="7" t="inlineStr">
        <is>
          <t>mg/dL</t>
        </is>
      </c>
      <c r="E196" s="7" t="inlineStr">
        <is>
          <t>nested</t>
        </is>
      </c>
      <c r="F196" s="7" t="inlineStr">
        <is>
          <t>artifacts/research/gt-nested-2026-10-12-v1/report.json</t>
        </is>
      </c>
      <c r="G196" s="7" t="inlineStr">
        <is>
          <t>/tracks/multimodal_5min/pipelines[pipeline=v2_recipe:dyn-v2&amp;mode=v2_policy]/horizons/60/mae</t>
        </is>
      </c>
      <c r="H196" s="7" t="inlineStr">
        <is>
          <t>2026-10-12T13:28:51+00:00</t>
        </is>
      </c>
      <c r="I196" s="7" t="inlineStr">
        <is>
          <t>368c28117b15d8092b555cf31176aabdd9d8f3bc3bf5137097ef1ce6fec6466b</t>
        </is>
      </c>
      <c r="J196" s="7" t="inlineStr">
        <is>
          <t>protocol configs/experiments/gt-nested-2026-10-12-v1.yaml (first commit 90121a4 2026-10-12T20:39:33+05:30)</t>
        </is>
      </c>
      <c r="K196" s="7" t="inlineStr">
        <is>
          <t>local / reproducible-only (git-ignored)</t>
        </is>
      </c>
    </row>
    <row r="197">
      <c r="A197" s="7" t="inlineStr">
        <is>
          <t>nest.cov30</t>
        </is>
      </c>
      <c r="B197" s="7" t="inlineStr">
        <is>
          <t>Nested internal: selected procedure 80 % range coverage, 30 min</t>
        </is>
      </c>
      <c r="C197" s="8" t="n">
        <v>0.8007365181859456</v>
      </c>
      <c r="D197" s="7" t="inlineStr">
        <is>
          <t>share</t>
        </is>
      </c>
      <c r="E197" s="7" t="inlineStr">
        <is>
          <t>nested</t>
        </is>
      </c>
      <c r="F197" s="7" t="inlineStr">
        <is>
          <t>artifacts/research/gt-nested-2026-10-12-v1/report.json</t>
        </is>
      </c>
      <c r="G197" s="7" t="inlineStr">
        <is>
          <t>/tracks/multimodal_5min/pipelines[pipeline=selected&amp;mode=final]/intervals/30/global/coverage_pooled</t>
        </is>
      </c>
      <c r="H197" s="7" t="inlineStr">
        <is>
          <t>2026-10-12T13:28:51+00:00</t>
        </is>
      </c>
      <c r="I197" s="7" t="inlineStr">
        <is>
          <t>368c28117b15d8092b555cf31176aabdd9d8f3bc3bf5137097ef1ce6fec6466b</t>
        </is>
      </c>
      <c r="J197" s="7" t="inlineStr">
        <is>
          <t>protocol configs/experiments/gt-nested-2026-10-12-v1.yaml (first commit 90121a4 2026-10-12T20:39:33+05:30)</t>
        </is>
      </c>
      <c r="K197" s="7" t="inlineStr">
        <is>
          <t>local / reproducible-only (git-ignored)</t>
        </is>
      </c>
    </row>
    <row r="198">
      <c r="A198" s="7" t="inlineStr">
        <is>
          <t>nest.prof.d30</t>
        </is>
      </c>
      <c r="B198" s="7" t="inlineStr">
        <is>
          <t>Nested: profile minus no profile (LightGBM L2, population), 30 min</t>
        </is>
      </c>
      <c r="C198" s="8" t="n">
        <v>0.335</v>
      </c>
      <c r="D198" s="7" t="inlineStr">
        <is>
          <t>mg/dL</t>
        </is>
      </c>
      <c r="E198" s="7" t="inlineStr">
        <is>
          <t>nested</t>
        </is>
      </c>
      <c r="F198" s="7" t="inlineStr">
        <is>
          <t>artifacts/research/gt-nested-2026-10-12-v1/report.json</t>
        </is>
      </c>
      <c r="G198" s="7" t="inlineStr">
        <is>
          <t>/tracks/multimodal_5min/comparisons[comparison=Profile inputs: LightGBM L2 dyn-prof-v2 minus dyn-v2&amp;horizon=30]/mean_diff</t>
        </is>
      </c>
      <c r="H198" s="7" t="inlineStr">
        <is>
          <t>2026-10-12T13:28:51+00:00</t>
        </is>
      </c>
      <c r="I198" s="7" t="inlineStr">
        <is>
          <t>368c28117b15d8092b555cf31176aabdd9d8f3bc3bf5137097ef1ce6fec6466b</t>
        </is>
      </c>
      <c r="J198" s="7" t="inlineStr">
        <is>
          <t>protocol configs/experiments/gt-nested-2026-10-12-v1.yaml (first commit 90121a4 2026-10-12T20:39:33+05:30)</t>
        </is>
      </c>
      <c r="K198" s="7" t="inlineStr">
        <is>
          <t>local / reproducible-only (git-ignored)</t>
        </is>
      </c>
    </row>
    <row r="199">
      <c r="A199" s="7" t="inlineStr">
        <is>
          <t>nest.prof.lo30</t>
        </is>
      </c>
      <c r="B199" s="7" t="inlineStr">
        <is>
          <t>95 % CI lower</t>
        </is>
      </c>
      <c r="C199" s="8" t="n">
        <v>-0.275</v>
      </c>
      <c r="D199" s="7" t="inlineStr">
        <is>
          <t>mg/dL</t>
        </is>
      </c>
      <c r="E199" s="7" t="inlineStr">
        <is>
          <t>nested</t>
        </is>
      </c>
      <c r="F199" s="7" t="inlineStr">
        <is>
          <t>artifacts/research/gt-nested-2026-10-12-v1/report.json</t>
        </is>
      </c>
      <c r="G199" s="7" t="inlineStr">
        <is>
          <t>/tracks/multimodal_5min/comparisons[comparison=Profile inputs: LightGBM L2 dyn-prof-v2 minus dyn-v2&amp;horizon=30]/ci95[0]</t>
        </is>
      </c>
      <c r="H199" s="7" t="inlineStr">
        <is>
          <t>2026-10-12T13:28:51+00:00</t>
        </is>
      </c>
      <c r="I199" s="7" t="inlineStr">
        <is>
          <t>368c28117b15d8092b555cf31176aabdd9d8f3bc3bf5137097ef1ce6fec6466b</t>
        </is>
      </c>
      <c r="J199" s="7" t="inlineStr">
        <is>
          <t>protocol configs/experiments/gt-nested-2026-10-12-v1.yaml (first commit 90121a4 2026-10-12T20:39:33+05:30)</t>
        </is>
      </c>
      <c r="K199" s="7" t="inlineStr">
        <is>
          <t>local / reproducible-only (git-ignored)</t>
        </is>
      </c>
    </row>
    <row r="200">
      <c r="A200" s="7" t="inlineStr">
        <is>
          <t>nest.prof.hi30</t>
        </is>
      </c>
      <c r="B200" s="7" t="inlineStr">
        <is>
          <t>95 % CI upper</t>
        </is>
      </c>
      <c r="C200" s="8" t="n">
        <v>0.894</v>
      </c>
      <c r="D200" s="7" t="inlineStr">
        <is>
          <t>mg/dL</t>
        </is>
      </c>
      <c r="E200" s="7" t="inlineStr">
        <is>
          <t>nested</t>
        </is>
      </c>
      <c r="F200" s="7" t="inlineStr">
        <is>
          <t>artifacts/research/gt-nested-2026-10-12-v1/report.json</t>
        </is>
      </c>
      <c r="G200" s="7" t="inlineStr">
        <is>
          <t>/tracks/multimodal_5min/comparisons[comparison=Profile inputs: LightGBM L2 dyn-prof-v2 minus dyn-v2&amp;horizon=30]/ci95[1]</t>
        </is>
      </c>
      <c r="H200" s="7" t="inlineStr">
        <is>
          <t>2026-10-12T13:28:51+00:00</t>
        </is>
      </c>
      <c r="I200" s="7" t="inlineStr">
        <is>
          <t>368c28117b15d8092b555cf31176aabdd9d8f3bc3bf5137097ef1ce6fec6466b</t>
        </is>
      </c>
      <c r="J200" s="7" t="inlineStr">
        <is>
          <t>protocol configs/experiments/gt-nested-2026-10-12-v1.yaml (first commit 90121a4 2026-10-12T20:39:33+05:30)</t>
        </is>
      </c>
      <c r="K200" s="7" t="inlineStr">
        <is>
          <t>local / reproducible-only (git-ignored)</t>
        </is>
      </c>
    </row>
    <row r="201">
      <c r="A201" s="7" t="inlineStr">
        <is>
          <t>ext.cand.mae30</t>
        </is>
      </c>
      <c r="B201" s="7" t="inlineStr">
        <is>
          <t>External ShanghaiT2DM (98): 15-min LightGBM, 30 min MAE</t>
        </is>
      </c>
      <c r="C201" s="8" t="n">
        <v>11.153</v>
      </c>
      <c r="D201" s="7" t="inlineStr">
        <is>
          <t>mg/dL</t>
        </is>
      </c>
      <c r="E201" s="7" t="inlineStr">
        <is>
          <t>nested</t>
        </is>
      </c>
      <c r="F201" s="7" t="inlineStr">
        <is>
          <t>artifacts/research/gt-nested-2026-10-12-v1/report.json</t>
        </is>
      </c>
      <c r="G201" s="7" t="inlineStr">
        <is>
          <t>/external/pipelines[pipeline=lightgbm_l2:cgm15-v1&amp;mode=final]/horizons/30/mae</t>
        </is>
      </c>
      <c r="H201" s="7" t="inlineStr">
        <is>
          <t>2026-10-12T13:28:51+00:00</t>
        </is>
      </c>
      <c r="I201" s="7" t="inlineStr">
        <is>
          <t>368c28117b15d8092b555cf31176aabdd9d8f3bc3bf5137097ef1ce6fec6466b</t>
        </is>
      </c>
      <c r="J201" s="7" t="inlineStr">
        <is>
          <t>protocol configs/experiments/gt-nested-2026-10-12-v1.yaml (first commit 90121a4 2026-10-12T20:39:33+05:30)</t>
        </is>
      </c>
      <c r="K201" s="7" t="inlineStr">
        <is>
          <t>local / reproducible-only (git-ignored)</t>
        </is>
      </c>
    </row>
    <row r="202">
      <c r="A202" s="7" t="inlineStr">
        <is>
          <t>ext.pers.mae30</t>
        </is>
      </c>
      <c r="B202" s="7" t="inlineStr">
        <is>
          <t>External ShanghaiT2DM: persistence, 30 min MAE</t>
        </is>
      </c>
      <c r="C202" s="8" t="n">
        <v>12.145</v>
      </c>
      <c r="D202" s="7" t="inlineStr">
        <is>
          <t>mg/dL</t>
        </is>
      </c>
      <c r="E202" s="7" t="inlineStr">
        <is>
          <t>nested</t>
        </is>
      </c>
      <c r="F202" s="7" t="inlineStr">
        <is>
          <t>artifacts/research/gt-nested-2026-10-12-v1/report.json</t>
        </is>
      </c>
      <c r="G202" s="7" t="inlineStr">
        <is>
          <t>/external/pipelines[pipeline=persistence:-&amp;mode=off]/horizons/30/mae</t>
        </is>
      </c>
      <c r="H202" s="7" t="inlineStr">
        <is>
          <t>2026-10-12T13:28:51+00:00</t>
        </is>
      </c>
      <c r="I202" s="7" t="inlineStr">
        <is>
          <t>368c28117b15d8092b555cf31176aabdd9d8f3bc3bf5137097ef1ce6fec6466b</t>
        </is>
      </c>
      <c r="J202" s="7" t="inlineStr">
        <is>
          <t>protocol configs/experiments/gt-nested-2026-10-12-v1.yaml (first commit 90121a4 2026-10-12T20:39:33+05:30)</t>
        </is>
      </c>
      <c r="K202" s="7" t="inlineStr">
        <is>
          <t>local / reproducible-only (git-ignored)</t>
        </is>
      </c>
    </row>
    <row r="203">
      <c r="A203" s="7" t="inlineStr">
        <is>
          <t>ext.cmp.mean_diff30</t>
        </is>
      </c>
      <c r="B203" s="7" t="inlineStr">
        <is>
          <t>External: candidate minus persistence, 30 min, mean_diff</t>
        </is>
      </c>
      <c r="C203" s="8" t="n">
        <v>-0.992</v>
      </c>
      <c r="D203" s="7" t="inlineStr">
        <is>
          <t>mg/dL</t>
        </is>
      </c>
      <c r="E203" s="7" t="inlineStr">
        <is>
          <t>nested</t>
        </is>
      </c>
      <c r="F203" s="7" t="inlineStr">
        <is>
          <t>artifacts/research/gt-nested-2026-10-12-v1/report.json</t>
        </is>
      </c>
      <c r="G203" s="7" t="inlineStr">
        <is>
          <t>/external/comparisons[comparison=Selected candidate minus persistence&amp;horizon=30]/mean_diff</t>
        </is>
      </c>
      <c r="H203" s="7" t="inlineStr">
        <is>
          <t>2026-10-12T13:28:51+00:00</t>
        </is>
      </c>
      <c r="I203" s="7" t="inlineStr">
        <is>
          <t>368c28117b15d8092b555cf31176aabdd9d8f3bc3bf5137097ef1ce6fec6466b</t>
        </is>
      </c>
      <c r="J203" s="7" t="inlineStr">
        <is>
          <t>protocol configs/experiments/gt-nested-2026-10-12-v1.yaml (first commit 90121a4 2026-10-12T20:39:33+05:30)</t>
        </is>
      </c>
      <c r="K203" s="7" t="inlineStr">
        <is>
          <t>local / reproducible-only (git-ignored)</t>
        </is>
      </c>
    </row>
    <row r="204">
      <c r="A204" s="7" t="inlineStr">
        <is>
          <t>ext.cmp.lo30</t>
        </is>
      </c>
      <c r="B204" s="7" t="inlineStr">
        <is>
          <t>External: candidate minus persistence, 30 min, ci95[0]</t>
        </is>
      </c>
      <c r="C204" s="8" t="n">
        <v>-1.211</v>
      </c>
      <c r="D204" s="7" t="inlineStr">
        <is>
          <t>mg/dL</t>
        </is>
      </c>
      <c r="E204" s="7" t="inlineStr">
        <is>
          <t>nested</t>
        </is>
      </c>
      <c r="F204" s="7" t="inlineStr">
        <is>
          <t>artifacts/research/gt-nested-2026-10-12-v1/report.json</t>
        </is>
      </c>
      <c r="G204" s="7" t="inlineStr">
        <is>
          <t>/external/comparisons[comparison=Selected candidate minus persistence&amp;horizon=30]/ci95[0]</t>
        </is>
      </c>
      <c r="H204" s="7" t="inlineStr">
        <is>
          <t>2026-10-12T13:28:51+00:00</t>
        </is>
      </c>
      <c r="I204" s="7" t="inlineStr">
        <is>
          <t>368c28117b15d8092b555cf31176aabdd9d8f3bc3bf5137097ef1ce6fec6466b</t>
        </is>
      </c>
      <c r="J204" s="7" t="inlineStr">
        <is>
          <t>protocol configs/experiments/gt-nested-2026-10-12-v1.yaml (first commit 90121a4 2026-10-12T20:39:33+05:30)</t>
        </is>
      </c>
      <c r="K204" s="7" t="inlineStr">
        <is>
          <t>local / reproducible-only (git-ignored)</t>
        </is>
      </c>
    </row>
    <row r="205">
      <c r="A205" s="7" t="inlineStr">
        <is>
          <t>ext.cmp.hi30</t>
        </is>
      </c>
      <c r="B205" s="7" t="inlineStr">
        <is>
          <t>External: candidate minus persistence, 30 min, ci95[1]</t>
        </is>
      </c>
      <c r="C205" s="8" t="n">
        <v>-0.766</v>
      </c>
      <c r="D205" s="7" t="inlineStr">
        <is>
          <t>mg/dL</t>
        </is>
      </c>
      <c r="E205" s="7" t="inlineStr">
        <is>
          <t>nested</t>
        </is>
      </c>
      <c r="F205" s="7" t="inlineStr">
        <is>
          <t>artifacts/research/gt-nested-2026-10-12-v1/report.json</t>
        </is>
      </c>
      <c r="G205" s="7" t="inlineStr">
        <is>
          <t>/external/comparisons[comparison=Selected candidate minus persistence&amp;horizon=30]/ci95[1]</t>
        </is>
      </c>
      <c r="H205" s="7" t="inlineStr">
        <is>
          <t>2026-10-12T13:28:51+00:00</t>
        </is>
      </c>
      <c r="I205" s="7" t="inlineStr">
        <is>
          <t>368c28117b15d8092b555cf31176aabdd9d8f3bc3bf5137097ef1ce6fec6466b</t>
        </is>
      </c>
      <c r="J205" s="7" t="inlineStr">
        <is>
          <t>protocol configs/experiments/gt-nested-2026-10-12-v1.yaml (first commit 90121a4 2026-10-12T20:39:33+05:30)</t>
        </is>
      </c>
      <c r="K205" s="7" t="inlineStr">
        <is>
          <t>local / reproducible-only (git-ignored)</t>
        </is>
      </c>
    </row>
    <row r="206">
      <c r="A206" s="7" t="inlineStr">
        <is>
          <t>ext.cmp.improved30</t>
        </is>
      </c>
      <c r="B206" s="7" t="inlineStr">
        <is>
          <t>External: candidate minus persistence, 30 min, improved</t>
        </is>
      </c>
      <c r="C206" s="7" t="n">
        <v>80</v>
      </c>
      <c r="D206" s="7" t="inlineStr">
        <is>
          <t>people</t>
        </is>
      </c>
      <c r="E206" s="7" t="inlineStr">
        <is>
          <t>nested</t>
        </is>
      </c>
      <c r="F206" s="7" t="inlineStr">
        <is>
          <t>artifacts/research/gt-nested-2026-10-12-v1/report.json</t>
        </is>
      </c>
      <c r="G206" s="7" t="inlineStr">
        <is>
          <t>/external/comparisons[comparison=Selected candidate minus persistence&amp;horizon=30]/improved</t>
        </is>
      </c>
      <c r="H206" s="7" t="inlineStr">
        <is>
          <t>2026-10-12T13:28:51+00:00</t>
        </is>
      </c>
      <c r="I206" s="7" t="inlineStr">
        <is>
          <t>368c28117b15d8092b555cf31176aabdd9d8f3bc3bf5137097ef1ce6fec6466b</t>
        </is>
      </c>
      <c r="J206" s="7" t="inlineStr">
        <is>
          <t>protocol configs/experiments/gt-nested-2026-10-12-v1.yaml (first commit 90121a4 2026-10-12T20:39:33+05:30)</t>
        </is>
      </c>
      <c r="K206" s="7" t="inlineStr">
        <is>
          <t>local / reproducible-only (git-ignored)</t>
        </is>
      </c>
    </row>
    <row r="207">
      <c r="A207" s="7" t="inlineStr">
        <is>
          <t>ext.cmp.n_participants30</t>
        </is>
      </c>
      <c r="B207" s="7" t="inlineStr">
        <is>
          <t>External: candidate minus persistence, 30 min, n_participants</t>
        </is>
      </c>
      <c r="C207" s="7" t="n">
        <v>98</v>
      </c>
      <c r="D207" s="7" t="inlineStr">
        <is>
          <t>mg/dL</t>
        </is>
      </c>
      <c r="E207" s="7" t="inlineStr">
        <is>
          <t>nested</t>
        </is>
      </c>
      <c r="F207" s="7" t="inlineStr">
        <is>
          <t>artifacts/research/gt-nested-2026-10-12-v1/report.json</t>
        </is>
      </c>
      <c r="G207" s="7" t="inlineStr">
        <is>
          <t>/external/comparisons[comparison=Selected candidate minus persistence&amp;horizon=30]/n_participants</t>
        </is>
      </c>
      <c r="H207" s="7" t="inlineStr">
        <is>
          <t>2026-10-12T13:28:51+00:00</t>
        </is>
      </c>
      <c r="I207" s="7" t="inlineStr">
        <is>
          <t>368c28117b15d8092b555cf31176aabdd9d8f3bc3bf5137097ef1ce6fec6466b</t>
        </is>
      </c>
      <c r="J207" s="7" t="inlineStr">
        <is>
          <t>protocol configs/experiments/gt-nested-2026-10-12-v1.yaml (first commit 90121a4 2026-10-12T20:39:33+05:30)</t>
        </is>
      </c>
      <c r="K207" s="7" t="inlineStr">
        <is>
          <t>local / reproducible-only (git-ignored)</t>
        </is>
      </c>
    </row>
    <row r="208">
      <c r="A208" s="7" t="inlineStr">
        <is>
          <t>ext.cov30</t>
        </is>
      </c>
      <c r="B208" s="7" t="inlineStr">
        <is>
          <t>External: 80 % range coverage, 30 min</t>
        </is>
      </c>
      <c r="C208" s="8" t="n">
        <v>0.870565081419174</v>
      </c>
      <c r="D208" s="7" t="inlineStr">
        <is>
          <t>share</t>
        </is>
      </c>
      <c r="E208" s="7" t="inlineStr">
        <is>
          <t>nested</t>
        </is>
      </c>
      <c r="F208" s="7" t="inlineStr">
        <is>
          <t>artifacts/research/gt-nested-2026-10-12-v1/report.json</t>
        </is>
      </c>
      <c r="G208" s="7" t="inlineStr">
        <is>
          <t>/external/pipelines[pipeline=lightgbm_l2:cgm15-v1&amp;mode=final]/intervals/30/global/coverage_pooled</t>
        </is>
      </c>
      <c r="H208" s="7" t="inlineStr">
        <is>
          <t>2026-10-12T13:28:51+00:00</t>
        </is>
      </c>
      <c r="I208" s="7" t="inlineStr">
        <is>
          <t>368c28117b15d8092b555cf31176aabdd9d8f3bc3bf5137097ef1ce6fec6466b</t>
        </is>
      </c>
      <c r="J208" s="7" t="inlineStr">
        <is>
          <t>protocol configs/experiments/gt-nested-2026-10-12-v1.yaml (first commit 90121a4 2026-10-12T20:39:33+05:30)</t>
        </is>
      </c>
      <c r="K208" s="7" t="inlineStr">
        <is>
          <t>local / reproducible-only (git-ignored)</t>
        </is>
      </c>
    </row>
    <row r="209">
      <c r="A209" s="7" t="inlineStr">
        <is>
          <t>nest.cov60</t>
        </is>
      </c>
      <c r="B209" s="7" t="inlineStr">
        <is>
          <t>Nested internal: selected procedure 80 % range coverage, 60 min</t>
        </is>
      </c>
      <c r="C209" s="8" t="n">
        <v>0.7881070968068161</v>
      </c>
      <c r="D209" s="7" t="inlineStr">
        <is>
          <t>share</t>
        </is>
      </c>
      <c r="E209" s="7" t="inlineStr">
        <is>
          <t>nested</t>
        </is>
      </c>
      <c r="F209" s="7" t="inlineStr">
        <is>
          <t>artifacts/research/gt-nested-2026-10-12-v1/report.json</t>
        </is>
      </c>
      <c r="G209" s="7" t="inlineStr">
        <is>
          <t>/tracks/multimodal_5min/pipelines[pipeline=selected&amp;mode=final]/intervals/60/global/coverage_pooled</t>
        </is>
      </c>
      <c r="H209" s="7" t="inlineStr">
        <is>
          <t>2026-10-12T13:28:51+00:00</t>
        </is>
      </c>
      <c r="I209" s="7" t="inlineStr">
        <is>
          <t>368c28117b15d8092b555cf31176aabdd9d8f3bc3bf5137097ef1ce6fec6466b</t>
        </is>
      </c>
      <c r="J209" s="7" t="inlineStr">
        <is>
          <t>protocol configs/experiments/gt-nested-2026-10-12-v1.yaml (first commit 90121a4 2026-10-12T20:39:33+05:30)</t>
        </is>
      </c>
      <c r="K209" s="7" t="inlineStr">
        <is>
          <t>local / reproducible-only (git-ignored)</t>
        </is>
      </c>
    </row>
    <row r="210">
      <c r="A210" s="7" t="inlineStr">
        <is>
          <t>nest.prof.d60</t>
        </is>
      </c>
      <c r="B210" s="7" t="inlineStr">
        <is>
          <t>Nested: profile minus no profile (LightGBM L2, population), 60 min</t>
        </is>
      </c>
      <c r="C210" s="8" t="n">
        <v>-0.747</v>
      </c>
      <c r="D210" s="7" t="inlineStr">
        <is>
          <t>mg/dL</t>
        </is>
      </c>
      <c r="E210" s="7" t="inlineStr">
        <is>
          <t>nested</t>
        </is>
      </c>
      <c r="F210" s="7" t="inlineStr">
        <is>
          <t>artifacts/research/gt-nested-2026-10-12-v1/report.json</t>
        </is>
      </c>
      <c r="G210" s="7" t="inlineStr">
        <is>
          <t>/tracks/multimodal_5min/comparisons[comparison=Profile inputs: LightGBM L2 dyn-prof-v2 minus dyn-v2&amp;horizon=60]/mean_diff</t>
        </is>
      </c>
      <c r="H210" s="7" t="inlineStr">
        <is>
          <t>2026-10-12T13:28:51+00:00</t>
        </is>
      </c>
      <c r="I210" s="7" t="inlineStr">
        <is>
          <t>368c28117b15d8092b555cf31176aabdd9d8f3bc3bf5137097ef1ce6fec6466b</t>
        </is>
      </c>
      <c r="J210" s="7" t="inlineStr">
        <is>
          <t>protocol configs/experiments/gt-nested-2026-10-12-v1.yaml (first commit 90121a4 2026-10-12T20:39:33+05:30)</t>
        </is>
      </c>
      <c r="K210" s="7" t="inlineStr">
        <is>
          <t>local / reproducible-only (git-ignored)</t>
        </is>
      </c>
    </row>
    <row r="211">
      <c r="A211" s="7" t="inlineStr">
        <is>
          <t>nest.prof.lo60</t>
        </is>
      </c>
      <c r="B211" s="7" t="inlineStr">
        <is>
          <t>95 % CI lower</t>
        </is>
      </c>
      <c r="C211" s="8" t="n">
        <v>-2.187</v>
      </c>
      <c r="D211" s="7" t="inlineStr">
        <is>
          <t>mg/dL</t>
        </is>
      </c>
      <c r="E211" s="7" t="inlineStr">
        <is>
          <t>nested</t>
        </is>
      </c>
      <c r="F211" s="7" t="inlineStr">
        <is>
          <t>artifacts/research/gt-nested-2026-10-12-v1/report.json</t>
        </is>
      </c>
      <c r="G211" s="7" t="inlineStr">
        <is>
          <t>/tracks/multimodal_5min/comparisons[comparison=Profile inputs: LightGBM L2 dyn-prof-v2 minus dyn-v2&amp;horizon=60]/ci95[0]</t>
        </is>
      </c>
      <c r="H211" s="7" t="inlineStr">
        <is>
          <t>2026-10-12T13:28:51+00:00</t>
        </is>
      </c>
      <c r="I211" s="7" t="inlineStr">
        <is>
          <t>368c28117b15d8092b555cf31176aabdd9d8f3bc3bf5137097ef1ce6fec6466b</t>
        </is>
      </c>
      <c r="J211" s="7" t="inlineStr">
        <is>
          <t>protocol configs/experiments/gt-nested-2026-10-12-v1.yaml (first commit 90121a4 2026-10-12T20:39:33+05:30)</t>
        </is>
      </c>
      <c r="K211" s="7" t="inlineStr">
        <is>
          <t>local / reproducible-only (git-ignored)</t>
        </is>
      </c>
    </row>
    <row r="212">
      <c r="A212" s="7" t="inlineStr">
        <is>
          <t>nest.prof.hi60</t>
        </is>
      </c>
      <c r="B212" s="7" t="inlineStr">
        <is>
          <t>95 % CI upper</t>
        </is>
      </c>
      <c r="C212" s="8" t="n">
        <v>0.608</v>
      </c>
      <c r="D212" s="7" t="inlineStr">
        <is>
          <t>mg/dL</t>
        </is>
      </c>
      <c r="E212" s="7" t="inlineStr">
        <is>
          <t>nested</t>
        </is>
      </c>
      <c r="F212" s="7" t="inlineStr">
        <is>
          <t>artifacts/research/gt-nested-2026-10-12-v1/report.json</t>
        </is>
      </c>
      <c r="G212" s="7" t="inlineStr">
        <is>
          <t>/tracks/multimodal_5min/comparisons[comparison=Profile inputs: LightGBM L2 dyn-prof-v2 minus dyn-v2&amp;horizon=60]/ci95[1]</t>
        </is>
      </c>
      <c r="H212" s="7" t="inlineStr">
        <is>
          <t>2026-10-12T13:28:51+00:00</t>
        </is>
      </c>
      <c r="I212" s="7" t="inlineStr">
        <is>
          <t>368c28117b15d8092b555cf31176aabdd9d8f3bc3bf5137097ef1ce6fec6466b</t>
        </is>
      </c>
      <c r="J212" s="7" t="inlineStr">
        <is>
          <t>protocol configs/experiments/gt-nested-2026-10-12-v1.yaml (first commit 90121a4 2026-10-12T20:39:33+05:30)</t>
        </is>
      </c>
      <c r="K212" s="7" t="inlineStr">
        <is>
          <t>local / reproducible-only (git-ignored)</t>
        </is>
      </c>
    </row>
    <row r="213">
      <c r="A213" s="7" t="inlineStr">
        <is>
          <t>ext.cand.mae60</t>
        </is>
      </c>
      <c r="B213" s="7" t="inlineStr">
        <is>
          <t>External ShanghaiT2DM (98): 15-min LightGBM, 60 min MAE</t>
        </is>
      </c>
      <c r="C213" s="8" t="n">
        <v>20.105</v>
      </c>
      <c r="D213" s="7" t="inlineStr">
        <is>
          <t>mg/dL</t>
        </is>
      </c>
      <c r="E213" s="7" t="inlineStr">
        <is>
          <t>nested</t>
        </is>
      </c>
      <c r="F213" s="7" t="inlineStr">
        <is>
          <t>artifacts/research/gt-nested-2026-10-12-v1/report.json</t>
        </is>
      </c>
      <c r="G213" s="7" t="inlineStr">
        <is>
          <t>/external/pipelines[pipeline=lightgbm_l2:cgm15-v1&amp;mode=final]/horizons/60/mae</t>
        </is>
      </c>
      <c r="H213" s="7" t="inlineStr">
        <is>
          <t>2026-10-12T13:28:51+00:00</t>
        </is>
      </c>
      <c r="I213" s="7" t="inlineStr">
        <is>
          <t>368c28117b15d8092b555cf31176aabdd9d8f3bc3bf5137097ef1ce6fec6466b</t>
        </is>
      </c>
      <c r="J213" s="7" t="inlineStr">
        <is>
          <t>protocol configs/experiments/gt-nested-2026-10-12-v1.yaml (first commit 90121a4 2026-10-12T20:39:33+05:30)</t>
        </is>
      </c>
      <c r="K213" s="7" t="inlineStr">
        <is>
          <t>local / reproducible-only (git-ignored)</t>
        </is>
      </c>
    </row>
    <row r="214">
      <c r="A214" s="7" t="inlineStr">
        <is>
          <t>ext.pers.mae60</t>
        </is>
      </c>
      <c r="B214" s="7" t="inlineStr">
        <is>
          <t>External ShanghaiT2DM: persistence, 60 min MAE</t>
        </is>
      </c>
      <c r="C214" s="8" t="n">
        <v>20.444</v>
      </c>
      <c r="D214" s="7" t="inlineStr">
        <is>
          <t>mg/dL</t>
        </is>
      </c>
      <c r="E214" s="7" t="inlineStr">
        <is>
          <t>nested</t>
        </is>
      </c>
      <c r="F214" s="7" t="inlineStr">
        <is>
          <t>artifacts/research/gt-nested-2026-10-12-v1/report.json</t>
        </is>
      </c>
      <c r="G214" s="7" t="inlineStr">
        <is>
          <t>/external/pipelines[pipeline=persistence:-&amp;mode=off]/horizons/60/mae</t>
        </is>
      </c>
      <c r="H214" s="7" t="inlineStr">
        <is>
          <t>2026-10-12T13:28:51+00:00</t>
        </is>
      </c>
      <c r="I214" s="7" t="inlineStr">
        <is>
          <t>368c28117b15d8092b555cf31176aabdd9d8f3bc3bf5137097ef1ce6fec6466b</t>
        </is>
      </c>
      <c r="J214" s="7" t="inlineStr">
        <is>
          <t>protocol configs/experiments/gt-nested-2026-10-12-v1.yaml (first commit 90121a4 2026-10-12T20:39:33+05:30)</t>
        </is>
      </c>
      <c r="K214" s="7" t="inlineStr">
        <is>
          <t>local / reproducible-only (git-ignored)</t>
        </is>
      </c>
    </row>
    <row r="215">
      <c r="A215" s="7" t="inlineStr">
        <is>
          <t>ext.cmp.mean_diff60</t>
        </is>
      </c>
      <c r="B215" s="7" t="inlineStr">
        <is>
          <t>External: candidate minus persistence, 60 min, mean_diff</t>
        </is>
      </c>
      <c r="C215" s="8" t="n">
        <v>-0.339</v>
      </c>
      <c r="D215" s="7" t="inlineStr">
        <is>
          <t>mg/dL</t>
        </is>
      </c>
      <c r="E215" s="7" t="inlineStr">
        <is>
          <t>nested</t>
        </is>
      </c>
      <c r="F215" s="7" t="inlineStr">
        <is>
          <t>artifacts/research/gt-nested-2026-10-12-v1/report.json</t>
        </is>
      </c>
      <c r="G215" s="7" t="inlineStr">
        <is>
          <t>/external/comparisons[comparison=Selected candidate minus persistence&amp;horizon=60]/mean_diff</t>
        </is>
      </c>
      <c r="H215" s="7" t="inlineStr">
        <is>
          <t>2026-10-12T13:28:51+00:00</t>
        </is>
      </c>
      <c r="I215" s="7" t="inlineStr">
        <is>
          <t>368c28117b15d8092b555cf31176aabdd9d8f3bc3bf5137097ef1ce6fec6466b</t>
        </is>
      </c>
      <c r="J215" s="7" t="inlineStr">
        <is>
          <t>protocol configs/experiments/gt-nested-2026-10-12-v1.yaml (first commit 90121a4 2026-10-12T20:39:33+05:30)</t>
        </is>
      </c>
      <c r="K215" s="7" t="inlineStr">
        <is>
          <t>local / reproducible-only (git-ignored)</t>
        </is>
      </c>
    </row>
    <row r="216">
      <c r="A216" s="7" t="inlineStr">
        <is>
          <t>ext.cmp.lo60</t>
        </is>
      </c>
      <c r="B216" s="7" t="inlineStr">
        <is>
          <t>External: candidate minus persistence, 60 min, ci95[0]</t>
        </is>
      </c>
      <c r="C216" s="8" t="n">
        <v>-0.762</v>
      </c>
      <c r="D216" s="7" t="inlineStr">
        <is>
          <t>mg/dL</t>
        </is>
      </c>
      <c r="E216" s="7" t="inlineStr">
        <is>
          <t>nested</t>
        </is>
      </c>
      <c r="F216" s="7" t="inlineStr">
        <is>
          <t>artifacts/research/gt-nested-2026-10-12-v1/report.json</t>
        </is>
      </c>
      <c r="G216" s="7" t="inlineStr">
        <is>
          <t>/external/comparisons[comparison=Selected candidate minus persistence&amp;horizon=60]/ci95[0]</t>
        </is>
      </c>
      <c r="H216" s="7" t="inlineStr">
        <is>
          <t>2026-10-12T13:28:51+00:00</t>
        </is>
      </c>
      <c r="I216" s="7" t="inlineStr">
        <is>
          <t>368c28117b15d8092b555cf31176aabdd9d8f3bc3bf5137097ef1ce6fec6466b</t>
        </is>
      </c>
      <c r="J216" s="7" t="inlineStr">
        <is>
          <t>protocol configs/experiments/gt-nested-2026-10-12-v1.yaml (first commit 90121a4 2026-10-12T20:39:33+05:30)</t>
        </is>
      </c>
      <c r="K216" s="7" t="inlineStr">
        <is>
          <t>local / reproducible-only (git-ignored)</t>
        </is>
      </c>
    </row>
    <row r="217">
      <c r="A217" s="7" t="inlineStr">
        <is>
          <t>ext.cmp.hi60</t>
        </is>
      </c>
      <c r="B217" s="7" t="inlineStr">
        <is>
          <t>External: candidate minus persistence, 60 min, ci95[1]</t>
        </is>
      </c>
      <c r="C217" s="8" t="n">
        <v>0.1</v>
      </c>
      <c r="D217" s="7" t="inlineStr">
        <is>
          <t>mg/dL</t>
        </is>
      </c>
      <c r="E217" s="7" t="inlineStr">
        <is>
          <t>nested</t>
        </is>
      </c>
      <c r="F217" s="7" t="inlineStr">
        <is>
          <t>artifacts/research/gt-nested-2026-10-12-v1/report.json</t>
        </is>
      </c>
      <c r="G217" s="7" t="inlineStr">
        <is>
          <t>/external/comparisons[comparison=Selected candidate minus persistence&amp;horizon=60]/ci95[1]</t>
        </is>
      </c>
      <c r="H217" s="7" t="inlineStr">
        <is>
          <t>2026-10-12T13:28:51+00:00</t>
        </is>
      </c>
      <c r="I217" s="7" t="inlineStr">
        <is>
          <t>368c28117b15d8092b555cf31176aabdd9d8f3bc3bf5137097ef1ce6fec6466b</t>
        </is>
      </c>
      <c r="J217" s="7" t="inlineStr">
        <is>
          <t>protocol configs/experiments/gt-nested-2026-10-12-v1.yaml (first commit 90121a4 2026-10-12T20:39:33+05:30)</t>
        </is>
      </c>
      <c r="K217" s="7" t="inlineStr">
        <is>
          <t>local / reproducible-only (git-ignored)</t>
        </is>
      </c>
    </row>
    <row r="218">
      <c r="A218" s="7" t="inlineStr">
        <is>
          <t>ext.cmp.improved60</t>
        </is>
      </c>
      <c r="B218" s="7" t="inlineStr">
        <is>
          <t>External: candidate minus persistence, 60 min, improved</t>
        </is>
      </c>
      <c r="C218" s="7" t="n">
        <v>66</v>
      </c>
      <c r="D218" s="7" t="inlineStr">
        <is>
          <t>people</t>
        </is>
      </c>
      <c r="E218" s="7" t="inlineStr">
        <is>
          <t>nested</t>
        </is>
      </c>
      <c r="F218" s="7" t="inlineStr">
        <is>
          <t>artifacts/research/gt-nested-2026-10-12-v1/report.json</t>
        </is>
      </c>
      <c r="G218" s="7" t="inlineStr">
        <is>
          <t>/external/comparisons[comparison=Selected candidate minus persistence&amp;horizon=60]/improved</t>
        </is>
      </c>
      <c r="H218" s="7" t="inlineStr">
        <is>
          <t>2026-10-12T13:28:51+00:00</t>
        </is>
      </c>
      <c r="I218" s="7" t="inlineStr">
        <is>
          <t>368c28117b15d8092b555cf31176aabdd9d8f3bc3bf5137097ef1ce6fec6466b</t>
        </is>
      </c>
      <c r="J218" s="7" t="inlineStr">
        <is>
          <t>protocol configs/experiments/gt-nested-2026-10-12-v1.yaml (first commit 90121a4 2026-10-12T20:39:33+05:30)</t>
        </is>
      </c>
      <c r="K218" s="7" t="inlineStr">
        <is>
          <t>local / reproducible-only (git-ignored)</t>
        </is>
      </c>
    </row>
    <row r="219">
      <c r="A219" s="7" t="inlineStr">
        <is>
          <t>ext.cmp.n_participants60</t>
        </is>
      </c>
      <c r="B219" s="7" t="inlineStr">
        <is>
          <t>External: candidate minus persistence, 60 min, n_participants</t>
        </is>
      </c>
      <c r="C219" s="7" t="n">
        <v>98</v>
      </c>
      <c r="D219" s="7" t="inlineStr">
        <is>
          <t>mg/dL</t>
        </is>
      </c>
      <c r="E219" s="7" t="inlineStr">
        <is>
          <t>nested</t>
        </is>
      </c>
      <c r="F219" s="7" t="inlineStr">
        <is>
          <t>artifacts/research/gt-nested-2026-10-12-v1/report.json</t>
        </is>
      </c>
      <c r="G219" s="7" t="inlineStr">
        <is>
          <t>/external/comparisons[comparison=Selected candidate minus persistence&amp;horizon=60]/n_participants</t>
        </is>
      </c>
      <c r="H219" s="7" t="inlineStr">
        <is>
          <t>2026-10-12T13:28:51+00:00</t>
        </is>
      </c>
      <c r="I219" s="7" t="inlineStr">
        <is>
          <t>368c28117b15d8092b555cf31176aabdd9d8f3bc3bf5137097ef1ce6fec6466b</t>
        </is>
      </c>
      <c r="J219" s="7" t="inlineStr">
        <is>
          <t>protocol configs/experiments/gt-nested-2026-10-12-v1.yaml (first commit 90121a4 2026-10-12T20:39:33+05:30)</t>
        </is>
      </c>
      <c r="K219" s="7" t="inlineStr">
        <is>
          <t>local / reproducible-only (git-ignored)</t>
        </is>
      </c>
    </row>
    <row r="220">
      <c r="A220" s="7" t="inlineStr">
        <is>
          <t>ext.cov60</t>
        </is>
      </c>
      <c r="B220" s="7" t="inlineStr">
        <is>
          <t>External: 80 % range coverage, 60 min</t>
        </is>
      </c>
      <c r="C220" s="8" t="n">
        <v>0.8606313818005007</v>
      </c>
      <c r="D220" s="7" t="inlineStr">
        <is>
          <t>share</t>
        </is>
      </c>
      <c r="E220" s="7" t="inlineStr">
        <is>
          <t>nested</t>
        </is>
      </c>
      <c r="F220" s="7" t="inlineStr">
        <is>
          <t>artifacts/research/gt-nested-2026-10-12-v1/report.json</t>
        </is>
      </c>
      <c r="G220" s="7" t="inlineStr">
        <is>
          <t>/external/pipelines[pipeline=lightgbm_l2:cgm15-v1&amp;mode=final]/intervals/60/global/coverage_pooled</t>
        </is>
      </c>
      <c r="H220" s="7" t="inlineStr">
        <is>
          <t>2026-10-12T13:28:51+00:00</t>
        </is>
      </c>
      <c r="I220" s="7" t="inlineStr">
        <is>
          <t>368c28117b15d8092b555cf31176aabdd9d8f3bc3bf5137097ef1ce6fec6466b</t>
        </is>
      </c>
      <c r="J220" s="7" t="inlineStr">
        <is>
          <t>protocol configs/experiments/gt-nested-2026-10-12-v1.yaml (first commit 90121a4 2026-10-12T20:39:33+05:30)</t>
        </is>
      </c>
      <c r="K220" s="7" t="inlineStr">
        <is>
          <t>local / reproducible-only (git-ignored)</t>
        </is>
      </c>
    </row>
    <row r="221">
      <c r="A221" s="7" t="inlineStr">
        <is>
          <t>nest.ridge_folds</t>
        </is>
      </c>
      <c r="B221" s="7" t="inlineStr">
        <is>
          <t>Nested: outer folds whose rule chose Ridge CGM-only</t>
        </is>
      </c>
      <c r="C221" s="7" t="n">
        <v>4</v>
      </c>
      <c r="D221" s="7" t="inlineStr">
        <is>
          <t>folds</t>
        </is>
      </c>
      <c r="E221" s="7" t="inlineStr">
        <is>
          <t>nested</t>
        </is>
      </c>
      <c r="F221" s="7" t="inlineStr">
        <is>
          <t>artifacts/research/gt-nested-2026-10-12-v1/report.json</t>
        </is>
      </c>
      <c r="G221" s="7" t="inlineStr">
        <is>
          <t>/tracks/multimodal_5min/selection_by_fold (count of outer folds selecting ridge:cgm-only-v1)</t>
        </is>
      </c>
      <c r="H221" s="7" t="inlineStr">
        <is>
          <t>2026-10-12T13:28:51+00:00</t>
        </is>
      </c>
      <c r="I221" s="7" t="inlineStr">
        <is>
          <t>368c28117b15d8092b555cf31176aabdd9d8f3bc3bf5137097ef1ce6fec6466b</t>
        </is>
      </c>
      <c r="J221" s="7" t="inlineStr">
        <is>
          <t>protocol configs/experiments/gt-nested-2026-10-12-v1.yaml (first commit 90121a4 2026-10-12T20:39:33+05:30)</t>
        </is>
      </c>
      <c r="K221" s="7" t="inlineStr">
        <is>
          <t>local / reproducible-only (git-ignored)</t>
        </is>
      </c>
    </row>
    <row r="222">
      <c r="A222" s="7" t="inlineStr">
        <is>
          <t>nest.frozen_at</t>
        </is>
      </c>
      <c r="B222" s="7" t="inlineStr">
        <is>
          <t>Nested protocol frozen</t>
        </is>
      </c>
      <c r="C222" s="10" t="n">
        <v>46307.56170138889</v>
      </c>
      <c r="D222" s="7" t="inlineStr">
        <is>
          <t>UTC</t>
        </is>
      </c>
      <c r="E222" s="7" t="inlineStr">
        <is>
          <t>nested</t>
        </is>
      </c>
      <c r="F222" s="7" t="inlineStr">
        <is>
          <t>artifacts/research/gt-nested-2026-10-12-v1/report.json</t>
        </is>
      </c>
      <c r="G222" s="7" t="inlineStr">
        <is>
          <t>/frozen_at</t>
        </is>
      </c>
      <c r="H222" s="7" t="inlineStr">
        <is>
          <t>2026-10-12T13:28:51+00:00</t>
        </is>
      </c>
      <c r="I222" s="7" t="inlineStr">
        <is>
          <t>368c28117b15d8092b555cf31176aabdd9d8f3bc3bf5137097ef1ce6fec6466b</t>
        </is>
      </c>
      <c r="J222" s="7" t="inlineStr">
        <is>
          <t>protocol configs/experiments/gt-nested-2026-10-12-v1.yaml (first commit 90121a4 2026-10-12T20:39:33+05:30)</t>
        </is>
      </c>
      <c r="K222" s="7" t="inlineStr">
        <is>
          <t>local / reproducible-only (git-ignored)</t>
        </is>
      </c>
    </row>
    <row r="223">
      <c r="A223" s="7" t="inlineStr">
        <is>
          <t>nest.opened_at</t>
        </is>
      </c>
      <c r="B223" s="7" t="inlineStr">
        <is>
          <t>Nested internal assessment opened</t>
        </is>
      </c>
      <c r="C223" s="10" t="n">
        <v>46307.57127314815</v>
      </c>
      <c r="D223" s="7" t="inlineStr">
        <is>
          <t>UTC</t>
        </is>
      </c>
      <c r="E223" s="7" t="inlineStr">
        <is>
          <t>nested</t>
        </is>
      </c>
      <c r="F223" s="7" t="inlineStr">
        <is>
          <t>artifacts/research/gt-nested-2026-10-12-v1/report.json</t>
        </is>
      </c>
      <c r="G223" s="7" t="inlineStr">
        <is>
          <t>/assessment_opened/opened_at</t>
        </is>
      </c>
      <c r="H223" s="7" t="inlineStr">
        <is>
          <t>2026-10-12T13:28:51+00:00</t>
        </is>
      </c>
      <c r="I223" s="7" t="inlineStr">
        <is>
          <t>368c28117b15d8092b555cf31176aabdd9d8f3bc3bf5137097ef1ce6fec6466b</t>
        </is>
      </c>
      <c r="J223" s="7" t="inlineStr">
        <is>
          <t>protocol configs/experiments/gt-nested-2026-10-12-v1.yaml (first commit 90121a4 2026-10-12T20:39:33+05:30)</t>
        </is>
      </c>
      <c r="K223" s="7" t="inlineStr">
        <is>
          <t>local / reproducible-only (git-ignored)</t>
        </is>
      </c>
    </row>
    <row r="224">
      <c r="A224" s="7" t="inlineStr">
        <is>
          <t>2h.sel.mae30</t>
        </is>
      </c>
      <c r="B224" s="7" t="inlineStr">
        <is>
          <t>Two-hour study: selected personalised, 30 min MAE</t>
        </is>
      </c>
      <c r="C224" s="8" t="n">
        <v>13.953</v>
      </c>
      <c r="D224" s="7" t="inlineStr">
        <is>
          <t>mg/dL</t>
        </is>
      </c>
      <c r="E224" s="7" t="inlineStr">
        <is>
          <t>twoh</t>
        </is>
      </c>
      <c r="F224" s="7" t="inlineStr">
        <is>
          <t>artifacts/research/gt-2h-2026-10-20/two_hour_summary.json</t>
        </is>
      </c>
      <c r="G224" s="7" t="inlineStr">
        <is>
          <t>/forecasts/selected|final/horizons/30/mae</t>
        </is>
      </c>
      <c r="H224" s="7" t="inlineStr">
        <is>
          <t>2026-10-20T09:18:07+00:00</t>
        </is>
      </c>
      <c r="I224" s="7" t="inlineStr">
        <is>
          <t>5d09f6be55284246f450ae2093a700162aa9c0a6cbfcf3fbd3d7f65191fdc8ed</t>
        </is>
      </c>
      <c r="J224" s="7" t="inlineStr">
        <is>
          <t>protocol configs/experiments/gt-2h-2026-10-20.yaml (first commit 4d66df4 2026-10-20T14:50:24+05:30)</t>
        </is>
      </c>
      <c r="K224" s="7" t="inlineStr">
        <is>
          <t>local / reproducible-only (git-ignored)</t>
        </is>
      </c>
    </row>
    <row r="225">
      <c r="A225" s="7" t="inlineStr">
        <is>
          <t>2h.pers.mae30</t>
        </is>
      </c>
      <c r="B225" s="7" t="inlineStr">
        <is>
          <t>Two-hour study: persistence, 30 min MAE</t>
        </is>
      </c>
      <c r="C225" s="8" t="n">
        <v>15.339</v>
      </c>
      <c r="D225" s="7" t="inlineStr">
        <is>
          <t>mg/dL</t>
        </is>
      </c>
      <c r="E225" s="7" t="inlineStr">
        <is>
          <t>twoh</t>
        </is>
      </c>
      <c r="F225" s="7" t="inlineStr">
        <is>
          <t>artifacts/research/gt-2h-2026-10-20/two_hour_summary.json</t>
        </is>
      </c>
      <c r="G225" s="7" t="inlineStr">
        <is>
          <t>/forecasts/persistence:-|off/horizons/30/mae</t>
        </is>
      </c>
      <c r="H225" s="7" t="inlineStr">
        <is>
          <t>2026-10-20T09:18:07+00:00</t>
        </is>
      </c>
      <c r="I225" s="7" t="inlineStr">
        <is>
          <t>5d09f6be55284246f450ae2093a700162aa9c0a6cbfcf3fbd3d7f65191fdc8ed</t>
        </is>
      </c>
      <c r="J225" s="7" t="inlineStr">
        <is>
          <t>protocol configs/experiments/gt-2h-2026-10-20.yaml (first commit 4d66df4 2026-10-20T14:50:24+05:30)</t>
        </is>
      </c>
      <c r="K225" s="7" t="inlineStr">
        <is>
          <t>local / reproducible-only (git-ignored)</t>
        </is>
      </c>
    </row>
    <row r="226">
      <c r="A226" s="7" t="inlineStr">
        <is>
          <t>2h.sel.mae60</t>
        </is>
      </c>
      <c r="B226" s="7" t="inlineStr">
        <is>
          <t>Two-hour study: selected personalised, 60 min MAE</t>
        </is>
      </c>
      <c r="C226" s="8" t="n">
        <v>22.288</v>
      </c>
      <c r="D226" s="7" t="inlineStr">
        <is>
          <t>mg/dL</t>
        </is>
      </c>
      <c r="E226" s="7" t="inlineStr">
        <is>
          <t>twoh</t>
        </is>
      </c>
      <c r="F226" s="7" t="inlineStr">
        <is>
          <t>artifacts/research/gt-2h-2026-10-20/two_hour_summary.json</t>
        </is>
      </c>
      <c r="G226" s="7" t="inlineStr">
        <is>
          <t>/forecasts/selected|final/horizons/60/mae</t>
        </is>
      </c>
      <c r="H226" s="7" t="inlineStr">
        <is>
          <t>2026-10-20T09:18:07+00:00</t>
        </is>
      </c>
      <c r="I226" s="7" t="inlineStr">
        <is>
          <t>5d09f6be55284246f450ae2093a700162aa9c0a6cbfcf3fbd3d7f65191fdc8ed</t>
        </is>
      </c>
      <c r="J226" s="7" t="inlineStr">
        <is>
          <t>protocol configs/experiments/gt-2h-2026-10-20.yaml (first commit 4d66df4 2026-10-20T14:50:24+05:30)</t>
        </is>
      </c>
      <c r="K226" s="7" t="inlineStr">
        <is>
          <t>local / reproducible-only (git-ignored)</t>
        </is>
      </c>
    </row>
    <row r="227">
      <c r="A227" s="7" t="inlineStr">
        <is>
          <t>2h.pers.mae60</t>
        </is>
      </c>
      <c r="B227" s="7" t="inlineStr">
        <is>
          <t>Two-hour study: persistence, 60 min MAE</t>
        </is>
      </c>
      <c r="C227" s="8" t="n">
        <v>24.467</v>
      </c>
      <c r="D227" s="7" t="inlineStr">
        <is>
          <t>mg/dL</t>
        </is>
      </c>
      <c r="E227" s="7" t="inlineStr">
        <is>
          <t>twoh</t>
        </is>
      </c>
      <c r="F227" s="7" t="inlineStr">
        <is>
          <t>artifacts/research/gt-2h-2026-10-20/two_hour_summary.json</t>
        </is>
      </c>
      <c r="G227" s="7" t="inlineStr">
        <is>
          <t>/forecasts/persistence:-|off/horizons/60/mae</t>
        </is>
      </c>
      <c r="H227" s="7" t="inlineStr">
        <is>
          <t>2026-10-20T09:18:07+00:00</t>
        </is>
      </c>
      <c r="I227" s="7" t="inlineStr">
        <is>
          <t>5d09f6be55284246f450ae2093a700162aa9c0a6cbfcf3fbd3d7f65191fdc8ed</t>
        </is>
      </c>
      <c r="J227" s="7" t="inlineStr">
        <is>
          <t>protocol configs/experiments/gt-2h-2026-10-20.yaml (first commit 4d66df4 2026-10-20T14:50:24+05:30)</t>
        </is>
      </c>
      <c r="K227" s="7" t="inlineStr">
        <is>
          <t>local / reproducible-only (git-ignored)</t>
        </is>
      </c>
    </row>
    <row r="228">
      <c r="A228" s="7" t="inlineStr">
        <is>
          <t>2h.sel.mae120</t>
        </is>
      </c>
      <c r="B228" s="7" t="inlineStr">
        <is>
          <t>Two-hour study: selected personalised, 120 min MAE</t>
        </is>
      </c>
      <c r="C228" s="8" t="n">
        <v>30.617</v>
      </c>
      <c r="D228" s="7" t="inlineStr">
        <is>
          <t>mg/dL</t>
        </is>
      </c>
      <c r="E228" s="7" t="inlineStr">
        <is>
          <t>twoh</t>
        </is>
      </c>
      <c r="F228" s="7" t="inlineStr">
        <is>
          <t>artifacts/research/gt-2h-2026-10-20/two_hour_summary.json</t>
        </is>
      </c>
      <c r="G228" s="7" t="inlineStr">
        <is>
          <t>/forecasts/selected|final/horizons/120/mae</t>
        </is>
      </c>
      <c r="H228" s="7" t="inlineStr">
        <is>
          <t>2026-10-20T09:18:07+00:00</t>
        </is>
      </c>
      <c r="I228" s="7" t="inlineStr">
        <is>
          <t>5d09f6be55284246f450ae2093a700162aa9c0a6cbfcf3fbd3d7f65191fdc8ed</t>
        </is>
      </c>
      <c r="J228" s="7" t="inlineStr">
        <is>
          <t>protocol configs/experiments/gt-2h-2026-10-20.yaml (first commit 4d66df4 2026-10-20T14:50:24+05:30)</t>
        </is>
      </c>
      <c r="K228" s="7" t="inlineStr">
        <is>
          <t>local / reproducible-only (git-ignored)</t>
        </is>
      </c>
    </row>
    <row r="229">
      <c r="A229" s="7" t="inlineStr">
        <is>
          <t>2h.pers.mae120</t>
        </is>
      </c>
      <c r="B229" s="7" t="inlineStr">
        <is>
          <t>Two-hour study: persistence, 120 min MAE</t>
        </is>
      </c>
      <c r="C229" s="8" t="n">
        <v>35.869</v>
      </c>
      <c r="D229" s="7" t="inlineStr">
        <is>
          <t>mg/dL</t>
        </is>
      </c>
      <c r="E229" s="7" t="inlineStr">
        <is>
          <t>twoh</t>
        </is>
      </c>
      <c r="F229" s="7" t="inlineStr">
        <is>
          <t>artifacts/research/gt-2h-2026-10-20/two_hour_summary.json</t>
        </is>
      </c>
      <c r="G229" s="7" t="inlineStr">
        <is>
          <t>/forecasts/persistence:-|off/horizons/120/mae</t>
        </is>
      </c>
      <c r="H229" s="7" t="inlineStr">
        <is>
          <t>2026-10-20T09:18:07+00:00</t>
        </is>
      </c>
      <c r="I229" s="7" t="inlineStr">
        <is>
          <t>5d09f6be55284246f450ae2093a700162aa9c0a6cbfcf3fbd3d7f65191fdc8ed</t>
        </is>
      </c>
      <c r="J229" s="7" t="inlineStr">
        <is>
          <t>protocol configs/experiments/gt-2h-2026-10-20.yaml (first commit 4d66df4 2026-10-20T14:50:24+05:30)</t>
        </is>
      </c>
      <c r="K229" s="7" t="inlineStr">
        <is>
          <t>local / reproducible-only (git-ignored)</t>
        </is>
      </c>
    </row>
    <row r="230">
      <c r="A230" s="7" t="inlineStr">
        <is>
          <t>2h.cmp.d</t>
        </is>
      </c>
      <c r="B230" s="7" t="inlineStr">
        <is>
          <t>Two-hour: selected minus persistence at 120 min</t>
        </is>
      </c>
      <c r="C230" s="8" t="n">
        <v>-5.25</v>
      </c>
      <c r="D230" s="7" t="inlineStr">
        <is>
          <t>mg/dL</t>
        </is>
      </c>
      <c r="E230" s="7" t="inlineStr">
        <is>
          <t>twoh</t>
        </is>
      </c>
      <c r="F230" s="7" t="inlineStr">
        <is>
          <t>artifacts/research/gt-2h-2026-10-20/two_hour_summary.json</t>
        </is>
      </c>
      <c r="G230" s="7" t="inlineStr">
        <is>
          <t>/comparisons[comparison=Selected (personalised) minus persistence&amp;horizon=120]/mean_difference</t>
        </is>
      </c>
      <c r="H230" s="7" t="inlineStr">
        <is>
          <t>2026-10-20T09:18:07+00:00</t>
        </is>
      </c>
      <c r="I230" s="7" t="inlineStr">
        <is>
          <t>5d09f6be55284246f450ae2093a700162aa9c0a6cbfcf3fbd3d7f65191fdc8ed</t>
        </is>
      </c>
      <c r="J230" s="7" t="inlineStr">
        <is>
          <t>protocol configs/experiments/gt-2h-2026-10-20.yaml (first commit 4d66df4 2026-10-20T14:50:24+05:30)</t>
        </is>
      </c>
      <c r="K230" s="7" t="inlineStr">
        <is>
          <t>local / reproducible-only (git-ignored)</t>
        </is>
      </c>
    </row>
    <row r="231">
      <c r="A231" s="7" t="inlineStr">
        <is>
          <t>2h.cmp.lo</t>
        </is>
      </c>
      <c r="B231" s="7" t="inlineStr">
        <is>
          <t>95 % CI lower</t>
        </is>
      </c>
      <c r="C231" s="8" t="n">
        <v>-6.44</v>
      </c>
      <c r="D231" s="7" t="inlineStr">
        <is>
          <t>mg/dL</t>
        </is>
      </c>
      <c r="E231" s="7" t="inlineStr">
        <is>
          <t>twoh</t>
        </is>
      </c>
      <c r="F231" s="7" t="inlineStr">
        <is>
          <t>artifacts/research/gt-2h-2026-10-20/two_hour_summary.json</t>
        </is>
      </c>
      <c r="G231" s="7" t="inlineStr">
        <is>
          <t>/comparisons[comparison=Selected (personalised) minus persistence&amp;horizon=120]/ci95[0]</t>
        </is>
      </c>
      <c r="H231" s="7" t="inlineStr">
        <is>
          <t>2026-10-20T09:18:07+00:00</t>
        </is>
      </c>
      <c r="I231" s="7" t="inlineStr">
        <is>
          <t>5d09f6be55284246f450ae2093a700162aa9c0a6cbfcf3fbd3d7f65191fdc8ed</t>
        </is>
      </c>
      <c r="J231" s="7" t="inlineStr">
        <is>
          <t>protocol configs/experiments/gt-2h-2026-10-20.yaml (first commit 4d66df4 2026-10-20T14:50:24+05:30)</t>
        </is>
      </c>
      <c r="K231" s="7" t="inlineStr">
        <is>
          <t>local / reproducible-only (git-ignored)</t>
        </is>
      </c>
    </row>
    <row r="232">
      <c r="A232" s="7" t="inlineStr">
        <is>
          <t>2h.cmp.hi</t>
        </is>
      </c>
      <c r="B232" s="7" t="inlineStr">
        <is>
          <t>95 % CI upper</t>
        </is>
      </c>
      <c r="C232" s="8" t="n">
        <v>-4.05</v>
      </c>
      <c r="D232" s="7" t="inlineStr">
        <is>
          <t>mg/dL</t>
        </is>
      </c>
      <c r="E232" s="7" t="inlineStr">
        <is>
          <t>twoh</t>
        </is>
      </c>
      <c r="F232" s="7" t="inlineStr">
        <is>
          <t>artifacts/research/gt-2h-2026-10-20/two_hour_summary.json</t>
        </is>
      </c>
      <c r="G232" s="7" t="inlineStr">
        <is>
          <t>/comparisons[comparison=Selected (personalised) minus persistence&amp;horizon=120]/ci95[1]</t>
        </is>
      </c>
      <c r="H232" s="7" t="inlineStr">
        <is>
          <t>2026-10-20T09:18:07+00:00</t>
        </is>
      </c>
      <c r="I232" s="7" t="inlineStr">
        <is>
          <t>5d09f6be55284246f450ae2093a700162aa9c0a6cbfcf3fbd3d7f65191fdc8ed</t>
        </is>
      </c>
      <c r="J232" s="7" t="inlineStr">
        <is>
          <t>protocol configs/experiments/gt-2h-2026-10-20.yaml (first commit 4d66df4 2026-10-20T14:50:24+05:30)</t>
        </is>
      </c>
      <c r="K232" s="7" t="inlineStr">
        <is>
          <t>local / reproducible-only (git-ignored)</t>
        </is>
      </c>
    </row>
    <row r="233">
      <c r="A233" s="7" t="inlineStr">
        <is>
          <t>2h.cmp.better</t>
        </is>
      </c>
      <c r="B233" s="7" t="inlineStr">
        <is>
          <t>People with lower error than persistence</t>
        </is>
      </c>
      <c r="C233" s="7" t="n">
        <v>14</v>
      </c>
      <c r="D233" s="7" t="inlineStr">
        <is>
          <t>people</t>
        </is>
      </c>
      <c r="E233" s="7" t="inlineStr">
        <is>
          <t>twoh</t>
        </is>
      </c>
      <c r="F233" s="7" t="inlineStr">
        <is>
          <t>artifacts/research/gt-2h-2026-10-20/two_hour_summary.json</t>
        </is>
      </c>
      <c r="G233" s="7" t="inlineStr">
        <is>
          <t>/comparisons[comparison=Selected (personalised) minus persistence&amp;horizon=120]/better_for</t>
        </is>
      </c>
      <c r="H233" s="7" t="inlineStr">
        <is>
          <t>2026-10-20T09:18:07+00:00</t>
        </is>
      </c>
      <c r="I233" s="7" t="inlineStr">
        <is>
          <t>5d09f6be55284246f450ae2093a700162aa9c0a6cbfcf3fbd3d7f65191fdc8ed</t>
        </is>
      </c>
      <c r="J233" s="7" t="inlineStr">
        <is>
          <t>protocol configs/experiments/gt-2h-2026-10-20.yaml (first commit 4d66df4 2026-10-20T14:50:24+05:30)</t>
        </is>
      </c>
      <c r="K233" s="7" t="inlineStr">
        <is>
          <t>local / reproducible-only (git-ignored)</t>
        </is>
      </c>
    </row>
    <row r="234">
      <c r="A234" s="7" t="inlineStr">
        <is>
          <t>2h.cmp.n</t>
        </is>
      </c>
      <c r="B234" s="7" t="inlineStr">
        <is>
          <t>Participants</t>
        </is>
      </c>
      <c r="C234" s="7" t="n">
        <v>14</v>
      </c>
      <c r="D234" s="7" t="inlineStr">
        <is>
          <t>people</t>
        </is>
      </c>
      <c r="E234" s="7" t="inlineStr">
        <is>
          <t>twoh</t>
        </is>
      </c>
      <c r="F234" s="7" t="inlineStr">
        <is>
          <t>artifacts/research/gt-2h-2026-10-20/two_hour_summary.json</t>
        </is>
      </c>
      <c r="G234" s="7" t="inlineStr">
        <is>
          <t>/comparisons[comparison=Selected (personalised) minus persistence&amp;horizon=120]/participants</t>
        </is>
      </c>
      <c r="H234" s="7" t="inlineStr">
        <is>
          <t>2026-10-20T09:18:07+00:00</t>
        </is>
      </c>
      <c r="I234" s="7" t="inlineStr">
        <is>
          <t>5d09f6be55284246f450ae2093a700162aa9c0a6cbfcf3fbd3d7f65191fdc8ed</t>
        </is>
      </c>
      <c r="J234" s="7" t="inlineStr">
        <is>
          <t>protocol configs/experiments/gt-2h-2026-10-20.yaml (first commit 4d66df4 2026-10-20T14:50:24+05:30)</t>
        </is>
      </c>
      <c r="K234" s="7" t="inlineStr">
        <is>
          <t>local / reproducible-only (git-ignored)</t>
        </is>
      </c>
    </row>
    <row r="235">
      <c r="A235" s="7" t="inlineStr">
        <is>
          <t>2h.prof.d</t>
        </is>
      </c>
      <c r="B235" s="7" t="inlineStr">
        <is>
          <t>Two-hour profile ablation (LightGBM), 120 min</t>
        </is>
      </c>
      <c r="C235" s="8" t="n">
        <v>-0.86</v>
      </c>
      <c r="D235" s="7" t="inlineStr">
        <is>
          <t>mg/dL</t>
        </is>
      </c>
      <c r="E235" s="7" t="inlineStr">
        <is>
          <t>twoh</t>
        </is>
      </c>
      <c r="F235" s="7" t="inlineStr">
        <is>
          <t>artifacts/research/gt-2h-2026-10-20/two_hour_summary.json</t>
        </is>
      </c>
      <c r="G235" s="7" t="inlineStr">
        <is>
          <t>/comparisons[comparison=Profile (EHR-like) inputs: LightGBM dyn-prof-v2 minus dyn-v2&amp;horizon=120]/mean_difference</t>
        </is>
      </c>
      <c r="H235" s="7" t="inlineStr">
        <is>
          <t>2026-10-20T09:18:07+00:00</t>
        </is>
      </c>
      <c r="I235" s="7" t="inlineStr">
        <is>
          <t>5d09f6be55284246f450ae2093a700162aa9c0a6cbfcf3fbd3d7f65191fdc8ed</t>
        </is>
      </c>
      <c r="J235" s="7" t="inlineStr">
        <is>
          <t>protocol configs/experiments/gt-2h-2026-10-20.yaml (first commit 4d66df4 2026-10-20T14:50:24+05:30)</t>
        </is>
      </c>
      <c r="K235" s="7" t="inlineStr">
        <is>
          <t>local / reproducible-only (git-ignored)</t>
        </is>
      </c>
    </row>
    <row r="236">
      <c r="A236" s="7" t="inlineStr">
        <is>
          <t>2h.prof.lo</t>
        </is>
      </c>
      <c r="B236" s="7" t="inlineStr">
        <is>
          <t>95 % CI lower</t>
        </is>
      </c>
      <c r="C236" s="8" t="n">
        <v>-2.6</v>
      </c>
      <c r="D236" s="7" t="inlineStr">
        <is>
          <t>mg/dL</t>
        </is>
      </c>
      <c r="E236" s="7" t="inlineStr">
        <is>
          <t>twoh</t>
        </is>
      </c>
      <c r="F236" s="7" t="inlineStr">
        <is>
          <t>artifacts/research/gt-2h-2026-10-20/two_hour_summary.json</t>
        </is>
      </c>
      <c r="G236" s="7" t="inlineStr">
        <is>
          <t>/comparisons[comparison=Profile (EHR-like) inputs: LightGBM dyn-prof-v2 minus dyn-v2&amp;horizon=120]/ci95[0]</t>
        </is>
      </c>
      <c r="H236" s="7" t="inlineStr">
        <is>
          <t>2026-10-20T09:18:07+00:00</t>
        </is>
      </c>
      <c r="I236" s="7" t="inlineStr">
        <is>
          <t>5d09f6be55284246f450ae2093a700162aa9c0a6cbfcf3fbd3d7f65191fdc8ed</t>
        </is>
      </c>
      <c r="J236" s="7" t="inlineStr">
        <is>
          <t>protocol configs/experiments/gt-2h-2026-10-20.yaml (first commit 4d66df4 2026-10-20T14:50:24+05:30)</t>
        </is>
      </c>
      <c r="K236" s="7" t="inlineStr">
        <is>
          <t>local / reproducible-only (git-ignored)</t>
        </is>
      </c>
    </row>
    <row r="237">
      <c r="A237" s="7" t="inlineStr">
        <is>
          <t>2h.prof.hi</t>
        </is>
      </c>
      <c r="B237" s="7" t="inlineStr">
        <is>
          <t>95 % CI upper</t>
        </is>
      </c>
      <c r="C237" s="8" t="n">
        <v>1.02</v>
      </c>
      <c r="D237" s="7" t="inlineStr">
        <is>
          <t>mg/dL</t>
        </is>
      </c>
      <c r="E237" s="7" t="inlineStr">
        <is>
          <t>twoh</t>
        </is>
      </c>
      <c r="F237" s="7" t="inlineStr">
        <is>
          <t>artifacts/research/gt-2h-2026-10-20/two_hour_summary.json</t>
        </is>
      </c>
      <c r="G237" s="7" t="inlineStr">
        <is>
          <t>/comparisons[comparison=Profile (EHR-like) inputs: LightGBM dyn-prof-v2 minus dyn-v2&amp;horizon=120]/ci95[1]</t>
        </is>
      </c>
      <c r="H237" s="7" t="inlineStr">
        <is>
          <t>2026-10-20T09:18:07+00:00</t>
        </is>
      </c>
      <c r="I237" s="7" t="inlineStr">
        <is>
          <t>5d09f6be55284246f450ae2093a700162aa9c0a6cbfcf3fbd3d7f65191fdc8ed</t>
        </is>
      </c>
      <c r="J237" s="7" t="inlineStr">
        <is>
          <t>protocol configs/experiments/gt-2h-2026-10-20.yaml (first commit 4d66df4 2026-10-20T14:50:24+05:30)</t>
        </is>
      </c>
      <c r="K237" s="7" t="inlineStr">
        <is>
          <t>local / reproducible-only (git-ignored)</t>
        </is>
      </c>
    </row>
    <row r="238">
      <c r="A238" s="7" t="inlineStr">
        <is>
          <t>2h.w.true_onsets</t>
        </is>
      </c>
      <c r="B238" s="7" t="inlineStr">
        <is>
          <t>Two-hour 120-min warning: true_onsets</t>
        </is>
      </c>
      <c r="C238" s="7" t="n">
        <v>329</v>
      </c>
      <c r="D238" s="7" t="inlineStr">
        <is>
          <t>onsets</t>
        </is>
      </c>
      <c r="E238" s="7" t="inlineStr">
        <is>
          <t>twoh</t>
        </is>
      </c>
      <c r="F238" s="7" t="inlineStr">
        <is>
          <t>artifacts/research/gt-2h-2026-10-20/two_hour_summary.json</t>
        </is>
      </c>
      <c r="G238" s="7" t="inlineStr">
        <is>
          <t>/warnings[pipeline=selected&amp;mode=final&amp;horizon=120]/true_onsets</t>
        </is>
      </c>
      <c r="H238" s="7" t="inlineStr">
        <is>
          <t>2026-10-20T09:18:07+00:00</t>
        </is>
      </c>
      <c r="I238" s="7" t="inlineStr">
        <is>
          <t>5d09f6be55284246f450ae2093a700162aa9c0a6cbfcf3fbd3d7f65191fdc8ed</t>
        </is>
      </c>
      <c r="J238" s="7" t="inlineStr">
        <is>
          <t>protocol configs/experiments/gt-2h-2026-10-20.yaml (first commit 4d66df4 2026-10-20T14:50:24+05:30)</t>
        </is>
      </c>
      <c r="K238" s="7" t="inlineStr">
        <is>
          <t>local / reproducible-only (git-ignored)</t>
        </is>
      </c>
    </row>
    <row r="239">
      <c r="A239" s="7" t="inlineStr">
        <is>
          <t>2h.w.detected_onsets</t>
        </is>
      </c>
      <c r="B239" s="7" t="inlineStr">
        <is>
          <t>Two-hour 120-min warning: detected_onsets</t>
        </is>
      </c>
      <c r="C239" s="7" t="n">
        <v>315</v>
      </c>
      <c r="D239" s="7" t="inlineStr">
        <is>
          <t>onsets</t>
        </is>
      </c>
      <c r="E239" s="7" t="inlineStr">
        <is>
          <t>twoh</t>
        </is>
      </c>
      <c r="F239" s="7" t="inlineStr">
        <is>
          <t>artifacts/research/gt-2h-2026-10-20/two_hour_summary.json</t>
        </is>
      </c>
      <c r="G239" s="7" t="inlineStr">
        <is>
          <t>/warnings[pipeline=selected&amp;mode=final&amp;horizon=120]/detected_onsets</t>
        </is>
      </c>
      <c r="H239" s="7" t="inlineStr">
        <is>
          <t>2026-10-20T09:18:07+00:00</t>
        </is>
      </c>
      <c r="I239" s="7" t="inlineStr">
        <is>
          <t>5d09f6be55284246f450ae2093a700162aa9c0a6cbfcf3fbd3d7f65191fdc8ed</t>
        </is>
      </c>
      <c r="J239" s="7" t="inlineStr">
        <is>
          <t>protocol configs/experiments/gt-2h-2026-10-20.yaml (first commit 4d66df4 2026-10-20T14:50:24+05:30)</t>
        </is>
      </c>
      <c r="K239" s="7" t="inlineStr">
        <is>
          <t>local / reproducible-only (git-ignored)</t>
        </is>
      </c>
    </row>
    <row r="240">
      <c r="A240" s="7" t="inlineStr">
        <is>
          <t>2h.w.false_alarms_per_observed_day</t>
        </is>
      </c>
      <c r="B240" s="7" t="inlineStr">
        <is>
          <t>Two-hour 120-min warning: false_alarms_per_observed_day</t>
        </is>
      </c>
      <c r="C240" s="8" t="n">
        <v>1.623</v>
      </c>
      <c r="D240" s="7" t="inlineStr">
        <is>
          <t>per observed day</t>
        </is>
      </c>
      <c r="E240" s="7" t="inlineStr">
        <is>
          <t>twoh</t>
        </is>
      </c>
      <c r="F240" s="7" t="inlineStr">
        <is>
          <t>artifacts/research/gt-2h-2026-10-20/two_hour_summary.json</t>
        </is>
      </c>
      <c r="G240" s="7" t="inlineStr">
        <is>
          <t>/warnings[pipeline=selected&amp;mode=final&amp;horizon=120]/false_alarms_per_observed_day</t>
        </is>
      </c>
      <c r="H240" s="7" t="inlineStr">
        <is>
          <t>2026-10-20T09:18:07+00:00</t>
        </is>
      </c>
      <c r="I240" s="7" t="inlineStr">
        <is>
          <t>5d09f6be55284246f450ae2093a700162aa9c0a6cbfcf3fbd3d7f65191fdc8ed</t>
        </is>
      </c>
      <c r="J240" s="7" t="inlineStr">
        <is>
          <t>protocol configs/experiments/gt-2h-2026-10-20.yaml (first commit 4d66df4 2026-10-20T14:50:24+05:30)</t>
        </is>
      </c>
      <c r="K240" s="7" t="inlineStr">
        <is>
          <t>local / reproducible-only (git-ignored)</t>
        </is>
      </c>
    </row>
    <row r="241">
      <c r="A241" s="7" t="inlineStr">
        <is>
          <t>2h.w.qualified_lead_median</t>
        </is>
      </c>
      <c r="B241" s="7" t="inlineStr">
        <is>
          <t>Two-hour 120-min warning: qualified_lead_median</t>
        </is>
      </c>
      <c r="C241" s="8" t="n">
        <v>15</v>
      </c>
      <c r="D241" s="7" t="inlineStr">
        <is>
          <t>min</t>
        </is>
      </c>
      <c r="E241" s="7" t="inlineStr">
        <is>
          <t>twoh</t>
        </is>
      </c>
      <c r="F241" s="7" t="inlineStr">
        <is>
          <t>artifacts/research/gt-2h-2026-10-20/two_hour_summary.json</t>
        </is>
      </c>
      <c r="G241" s="7" t="inlineStr">
        <is>
          <t>/warnings[pipeline=selected&amp;mode=final&amp;horizon=120]/qualified_lead_median</t>
        </is>
      </c>
      <c r="H241" s="7" t="inlineStr">
        <is>
          <t>2026-10-20T09:18:07+00:00</t>
        </is>
      </c>
      <c r="I241" s="7" t="inlineStr">
        <is>
          <t>5d09f6be55284246f450ae2093a700162aa9c0a6cbfcf3fbd3d7f65191fdc8ed</t>
        </is>
      </c>
      <c r="J241" s="7" t="inlineStr">
        <is>
          <t>protocol configs/experiments/gt-2h-2026-10-20.yaml (first commit 4d66df4 2026-10-20T14:50:24+05:30)</t>
        </is>
      </c>
      <c r="K241" s="7" t="inlineStr">
        <is>
          <t>local / reproducible-only (git-ignored)</t>
        </is>
      </c>
    </row>
    <row r="242">
      <c r="A242" s="7" t="inlineStr">
        <is>
          <t>2h.w.qualified_lead_iqr_lo</t>
        </is>
      </c>
      <c r="B242" s="7" t="inlineStr">
        <is>
          <t>Two-hour 120-min warning: qualified_lead_iqr[0]</t>
        </is>
      </c>
      <c r="C242" s="8" t="n">
        <v>5</v>
      </c>
      <c r="D242" s="7" t="inlineStr">
        <is>
          <t>min</t>
        </is>
      </c>
      <c r="E242" s="7" t="inlineStr">
        <is>
          <t>twoh</t>
        </is>
      </c>
      <c r="F242" s="7" t="inlineStr">
        <is>
          <t>artifacts/research/gt-2h-2026-10-20/two_hour_summary.json</t>
        </is>
      </c>
      <c r="G242" s="7" t="inlineStr">
        <is>
          <t>/warnings[pipeline=selected&amp;mode=final&amp;horizon=120]/qualified_lead_iqr[0]</t>
        </is>
      </c>
      <c r="H242" s="7" t="inlineStr">
        <is>
          <t>2026-10-20T09:18:07+00:00</t>
        </is>
      </c>
      <c r="I242" s="7" t="inlineStr">
        <is>
          <t>5d09f6be55284246f450ae2093a700162aa9c0a6cbfcf3fbd3d7f65191fdc8ed</t>
        </is>
      </c>
      <c r="J242" s="7" t="inlineStr">
        <is>
          <t>protocol configs/experiments/gt-2h-2026-10-20.yaml (first commit 4d66df4 2026-10-20T14:50:24+05:30)</t>
        </is>
      </c>
      <c r="K242" s="7" t="inlineStr">
        <is>
          <t>local / reproducible-only (git-ignored)</t>
        </is>
      </c>
    </row>
    <row r="243">
      <c r="A243" s="7" t="inlineStr">
        <is>
          <t>2h.w.qualified_lead_iqr_hi</t>
        </is>
      </c>
      <c r="B243" s="7" t="inlineStr">
        <is>
          <t>Two-hour 120-min warning: qualified_lead_iqr[1]</t>
        </is>
      </c>
      <c r="C243" s="8" t="n">
        <v>65</v>
      </c>
      <c r="D243" s="7" t="inlineStr">
        <is>
          <t>min</t>
        </is>
      </c>
      <c r="E243" s="7" t="inlineStr">
        <is>
          <t>twoh</t>
        </is>
      </c>
      <c r="F243" s="7" t="inlineStr">
        <is>
          <t>artifacts/research/gt-2h-2026-10-20/two_hour_summary.json</t>
        </is>
      </c>
      <c r="G243" s="7" t="inlineStr">
        <is>
          <t>/warnings[pipeline=selected&amp;mode=final&amp;horizon=120]/qualified_lead_iqr[1]</t>
        </is>
      </c>
      <c r="H243" s="7" t="inlineStr">
        <is>
          <t>2026-10-20T09:18:07+00:00</t>
        </is>
      </c>
      <c r="I243" s="7" t="inlineStr">
        <is>
          <t>5d09f6be55284246f450ae2093a700162aa9c0a6cbfcf3fbd3d7f65191fdc8ed</t>
        </is>
      </c>
      <c r="J243" s="7" t="inlineStr">
        <is>
          <t>protocol configs/experiments/gt-2h-2026-10-20.yaml (first commit 4d66df4 2026-10-20T14:50:24+05:30)</t>
        </is>
      </c>
      <c r="K243" s="7" t="inlineStr">
        <is>
          <t>local / reproducible-only (git-ignored)</t>
        </is>
      </c>
    </row>
    <row r="244">
      <c r="A244" s="7" t="inlineStr">
        <is>
          <t>2h.cov120</t>
        </is>
      </c>
      <c r="B244" s="7" t="inlineStr">
        <is>
          <t>Two-hour: 80 % range coverage at 120 min</t>
        </is>
      </c>
      <c r="C244" s="8" t="n">
        <v>0.7648791387365428</v>
      </c>
      <c r="D244" s="7" t="inlineStr">
        <is>
          <t>share</t>
        </is>
      </c>
      <c r="E244" s="7" t="inlineStr">
        <is>
          <t>twoh</t>
        </is>
      </c>
      <c r="F244" s="7" t="inlineStr">
        <is>
          <t>artifacts/research/gt-2h-2026-10-20/two_hour_summary.json</t>
        </is>
      </c>
      <c r="G244" s="7" t="inlineStr">
        <is>
          <t>/forecasts/selected|final/coverage/120</t>
        </is>
      </c>
      <c r="H244" s="7" t="inlineStr">
        <is>
          <t>2026-10-20T09:18:07+00:00</t>
        </is>
      </c>
      <c r="I244" s="7" t="inlineStr">
        <is>
          <t>5d09f6be55284246f450ae2093a700162aa9c0a6cbfcf3fbd3d7f65191fdc8ed</t>
        </is>
      </c>
      <c r="J244" s="7" t="inlineStr">
        <is>
          <t>protocol configs/experiments/gt-2h-2026-10-20.yaml (first commit 4d66df4 2026-10-20T14:50:24+05:30)</t>
        </is>
      </c>
      <c r="K244" s="7" t="inlineStr">
        <is>
          <t>local / reproducible-only (git-ignored)</t>
        </is>
      </c>
    </row>
    <row r="245">
      <c r="A245" s="7" t="inlineStr">
        <is>
          <t>2h.frozen_at</t>
        </is>
      </c>
      <c r="B245" s="7" t="inlineStr">
        <is>
          <t>Two-hour protocol frozen</t>
        </is>
      </c>
      <c r="C245" s="10" t="n">
        <v>46315.38758101852</v>
      </c>
      <c r="D245" s="7" t="inlineStr">
        <is>
          <t>UTC</t>
        </is>
      </c>
      <c r="E245" s="7" t="inlineStr">
        <is>
          <t>twoh</t>
        </is>
      </c>
      <c r="F245" s="7" t="inlineStr">
        <is>
          <t>artifacts/research/gt-2h-2026-10-20/two_hour_summary.json</t>
        </is>
      </c>
      <c r="G245" s="7" t="inlineStr">
        <is>
          <t>/frozen_at</t>
        </is>
      </c>
      <c r="H245" s="7" t="inlineStr">
        <is>
          <t>2026-10-20T09:18:07+00:00</t>
        </is>
      </c>
      <c r="I245" s="7" t="inlineStr">
        <is>
          <t>5d09f6be55284246f450ae2093a700162aa9c0a6cbfcf3fbd3d7f65191fdc8ed</t>
        </is>
      </c>
      <c r="J245" s="7" t="inlineStr">
        <is>
          <t>protocol configs/experiments/gt-2h-2026-10-20.yaml (first commit 4d66df4 2026-10-20T14:50:24+05:30)</t>
        </is>
      </c>
      <c r="K245" s="7" t="inlineStr">
        <is>
          <t>local / reproducible-only (git-ignored)</t>
        </is>
      </c>
    </row>
    <row r="246">
      <c r="A246" s="7" t="inlineStr">
        <is>
          <t>2h.opened_at</t>
        </is>
      </c>
      <c r="B246" s="7" t="inlineStr">
        <is>
          <t>Two-hour assessment opened</t>
        </is>
      </c>
      <c r="C246" s="10" t="n">
        <v>46315.39990740741</v>
      </c>
      <c r="D246" s="7" t="inlineStr">
        <is>
          <t>UTC</t>
        </is>
      </c>
      <c r="E246" s="7" t="inlineStr">
        <is>
          <t>twoh</t>
        </is>
      </c>
      <c r="F246" s="7" t="inlineStr">
        <is>
          <t>artifacts/research/gt-2h-2026-10-20/two_hour_summary.json</t>
        </is>
      </c>
      <c r="G246" s="7" t="inlineStr">
        <is>
          <t>/assessment_opened/opened_at</t>
        </is>
      </c>
      <c r="H246" s="7" t="inlineStr">
        <is>
          <t>2026-10-20T09:18:07+00:00</t>
        </is>
      </c>
      <c r="I246" s="7" t="inlineStr">
        <is>
          <t>5d09f6be55284246f450ae2093a700162aa9c0a6cbfcf3fbd3d7f65191fdc8ed</t>
        </is>
      </c>
      <c r="J246" s="7" t="inlineStr">
        <is>
          <t>protocol configs/experiments/gt-2h-2026-10-20.yaml (first commit 4d66df4 2026-10-20T14:50:24+05:30)</t>
        </is>
      </c>
      <c r="K246" s="7" t="inlineStr">
        <is>
          <t>local / reproducible-only (git-ignored)</t>
        </is>
      </c>
    </row>
    <row r="247">
      <c r="A247" s="7" t="inlineStr">
        <is>
          <t>2hx.mae30</t>
        </is>
      </c>
      <c r="B247" s="7" t="inlineStr">
        <is>
          <t>External two-hour (98 ShanghaiT2DM): 30 min MAE</t>
        </is>
      </c>
      <c r="C247" s="8" t="n">
        <v>10.898</v>
      </c>
      <c r="D247" s="7" t="inlineStr">
        <is>
          <t>mg/dL</t>
        </is>
      </c>
      <c r="E247" s="7" t="inlineStr">
        <is>
          <t>twoh_ext</t>
        </is>
      </c>
      <c r="F247" s="7" t="inlineStr">
        <is>
          <t>artifacts/research/gt-2h-ext-2026-10-20/two_hour_external_summary.json</t>
        </is>
      </c>
      <c r="G247" s="7" t="inlineStr">
        <is>
          <t>/mae/30</t>
        </is>
      </c>
      <c r="H247" s="7" t="inlineStr">
        <is>
          <t>2026-10-20T10:10:25+00:00</t>
        </is>
      </c>
      <c r="I247" s="7" t="inlineStr">
        <is>
          <t>58a1ba2570f9fe0026d918d914a11fc508b5083d03ce357bcecfe500220633ee</t>
        </is>
      </c>
      <c r="J247" s="7" t="inlineStr">
        <is>
          <t>protocol configs/experiments/gt-2h-ext-2026-10-20.yaml (first commit c55789a 2026-10-20T15:38:49+05:30)</t>
        </is>
      </c>
      <c r="K247" s="7" t="inlineStr">
        <is>
          <t>local / reproducible-only (git-ignored)</t>
        </is>
      </c>
    </row>
    <row r="248">
      <c r="A248" s="7" t="inlineStr">
        <is>
          <t>2hx.pers30</t>
        </is>
      </c>
      <c r="B248" s="7" t="inlineStr">
        <is>
          <t>External two-hour: persistence 30 min MAE</t>
        </is>
      </c>
      <c r="C248" s="8" t="n">
        <v>12.145</v>
      </c>
      <c r="D248" s="7" t="inlineStr">
        <is>
          <t>mg/dL</t>
        </is>
      </c>
      <c r="E248" s="7" t="inlineStr">
        <is>
          <t>twoh_ext</t>
        </is>
      </c>
      <c r="F248" s="7" t="inlineStr">
        <is>
          <t>artifacts/research/gt-2h-ext-2026-10-20/two_hour_external_summary.json</t>
        </is>
      </c>
      <c r="G248" s="7" t="inlineStr">
        <is>
          <t>/persistence_mae/30</t>
        </is>
      </c>
      <c r="H248" s="7" t="inlineStr">
        <is>
          <t>2026-10-20T10:10:25+00:00</t>
        </is>
      </c>
      <c r="I248" s="7" t="inlineStr">
        <is>
          <t>58a1ba2570f9fe0026d918d914a11fc508b5083d03ce357bcecfe500220633ee</t>
        </is>
      </c>
      <c r="J248" s="7" t="inlineStr">
        <is>
          <t>protocol configs/experiments/gt-2h-ext-2026-10-20.yaml (first commit c55789a 2026-10-20T15:38:49+05:30)</t>
        </is>
      </c>
      <c r="K248" s="7" t="inlineStr">
        <is>
          <t>local / reproducible-only (git-ignored)</t>
        </is>
      </c>
    </row>
    <row r="249">
      <c r="A249" s="7" t="inlineStr">
        <is>
          <t>2hx.mae60</t>
        </is>
      </c>
      <c r="B249" s="7" t="inlineStr">
        <is>
          <t>External two-hour (98 ShanghaiT2DM): 60 min MAE</t>
        </is>
      </c>
      <c r="C249" s="8" t="n">
        <v>19.311</v>
      </c>
      <c r="D249" s="7" t="inlineStr">
        <is>
          <t>mg/dL</t>
        </is>
      </c>
      <c r="E249" s="7" t="inlineStr">
        <is>
          <t>twoh_ext</t>
        </is>
      </c>
      <c r="F249" s="7" t="inlineStr">
        <is>
          <t>artifacts/research/gt-2h-ext-2026-10-20/two_hour_external_summary.json</t>
        </is>
      </c>
      <c r="G249" s="7" t="inlineStr">
        <is>
          <t>/mae/60</t>
        </is>
      </c>
      <c r="H249" s="7" t="inlineStr">
        <is>
          <t>2026-10-20T10:10:25+00:00</t>
        </is>
      </c>
      <c r="I249" s="7" t="inlineStr">
        <is>
          <t>58a1ba2570f9fe0026d918d914a11fc508b5083d03ce357bcecfe500220633ee</t>
        </is>
      </c>
      <c r="J249" s="7" t="inlineStr">
        <is>
          <t>protocol configs/experiments/gt-2h-ext-2026-10-20.yaml (first commit c55789a 2026-10-20T15:38:49+05:30)</t>
        </is>
      </c>
      <c r="K249" s="7" t="inlineStr">
        <is>
          <t>local / reproducible-only (git-ignored)</t>
        </is>
      </c>
    </row>
    <row r="250">
      <c r="A250" s="7" t="inlineStr">
        <is>
          <t>2hx.pers60</t>
        </is>
      </c>
      <c r="B250" s="7" t="inlineStr">
        <is>
          <t>External two-hour: persistence 60 min MAE</t>
        </is>
      </c>
      <c r="C250" s="8" t="n">
        <v>20.444</v>
      </c>
      <c r="D250" s="7" t="inlineStr">
        <is>
          <t>mg/dL</t>
        </is>
      </c>
      <c r="E250" s="7" t="inlineStr">
        <is>
          <t>twoh_ext</t>
        </is>
      </c>
      <c r="F250" s="7" t="inlineStr">
        <is>
          <t>artifacts/research/gt-2h-ext-2026-10-20/two_hour_external_summary.json</t>
        </is>
      </c>
      <c r="G250" s="7" t="inlineStr">
        <is>
          <t>/persistence_mae/60</t>
        </is>
      </c>
      <c r="H250" s="7" t="inlineStr">
        <is>
          <t>2026-10-20T10:10:25+00:00</t>
        </is>
      </c>
      <c r="I250" s="7" t="inlineStr">
        <is>
          <t>58a1ba2570f9fe0026d918d914a11fc508b5083d03ce357bcecfe500220633ee</t>
        </is>
      </c>
      <c r="J250" s="7" t="inlineStr">
        <is>
          <t>protocol configs/experiments/gt-2h-ext-2026-10-20.yaml (first commit c55789a 2026-10-20T15:38:49+05:30)</t>
        </is>
      </c>
      <c r="K250" s="7" t="inlineStr">
        <is>
          <t>local / reproducible-only (git-ignored)</t>
        </is>
      </c>
    </row>
    <row r="251">
      <c r="A251" s="7" t="inlineStr">
        <is>
          <t>2hx.mae120</t>
        </is>
      </c>
      <c r="B251" s="7" t="inlineStr">
        <is>
          <t>External two-hour (98 ShanghaiT2DM): 120 min MAE</t>
        </is>
      </c>
      <c r="C251" s="8" t="n">
        <v>29.553</v>
      </c>
      <c r="D251" s="7" t="inlineStr">
        <is>
          <t>mg/dL</t>
        </is>
      </c>
      <c r="E251" s="7" t="inlineStr">
        <is>
          <t>twoh_ext</t>
        </is>
      </c>
      <c r="F251" s="7" t="inlineStr">
        <is>
          <t>artifacts/research/gt-2h-ext-2026-10-20/two_hour_external_summary.json</t>
        </is>
      </c>
      <c r="G251" s="7" t="inlineStr">
        <is>
          <t>/mae/120</t>
        </is>
      </c>
      <c r="H251" s="7" t="inlineStr">
        <is>
          <t>2026-10-20T10:10:25+00:00</t>
        </is>
      </c>
      <c r="I251" s="7" t="inlineStr">
        <is>
          <t>58a1ba2570f9fe0026d918d914a11fc508b5083d03ce357bcecfe500220633ee</t>
        </is>
      </c>
      <c r="J251" s="7" t="inlineStr">
        <is>
          <t>protocol configs/experiments/gt-2h-ext-2026-10-20.yaml (first commit c55789a 2026-10-20T15:38:49+05:30)</t>
        </is>
      </c>
      <c r="K251" s="7" t="inlineStr">
        <is>
          <t>local / reproducible-only (git-ignored)</t>
        </is>
      </c>
    </row>
    <row r="252">
      <c r="A252" s="7" t="inlineStr">
        <is>
          <t>2hx.pers120</t>
        </is>
      </c>
      <c r="B252" s="7" t="inlineStr">
        <is>
          <t>External two-hour: persistence 120 min MAE</t>
        </is>
      </c>
      <c r="C252" s="8" t="n">
        <v>31.675</v>
      </c>
      <c r="D252" s="7" t="inlineStr">
        <is>
          <t>mg/dL</t>
        </is>
      </c>
      <c r="E252" s="7" t="inlineStr">
        <is>
          <t>twoh_ext</t>
        </is>
      </c>
      <c r="F252" s="7" t="inlineStr">
        <is>
          <t>artifacts/research/gt-2h-ext-2026-10-20/two_hour_external_summary.json</t>
        </is>
      </c>
      <c r="G252" s="7" t="inlineStr">
        <is>
          <t>/persistence_mae/120</t>
        </is>
      </c>
      <c r="H252" s="7" t="inlineStr">
        <is>
          <t>2026-10-20T10:10:25+00:00</t>
        </is>
      </c>
      <c r="I252" s="7" t="inlineStr">
        <is>
          <t>58a1ba2570f9fe0026d918d914a11fc508b5083d03ce357bcecfe500220633ee</t>
        </is>
      </c>
      <c r="J252" s="7" t="inlineStr">
        <is>
          <t>protocol configs/experiments/gt-2h-ext-2026-10-20.yaml (first commit c55789a 2026-10-20T15:38:49+05:30)</t>
        </is>
      </c>
      <c r="K252" s="7" t="inlineStr">
        <is>
          <t>local / reproducible-only (git-ignored)</t>
        </is>
      </c>
    </row>
    <row r="253">
      <c r="A253" s="7" t="inlineStr">
        <is>
          <t>2hx.cmp.mean_diff</t>
        </is>
      </c>
      <c r="B253" s="7" t="inlineStr">
        <is>
          <t>External two-hour: minus persistence at 120 min, mean_diff</t>
        </is>
      </c>
      <c r="C253" s="8" t="n">
        <v>-2.122</v>
      </c>
      <c r="D253" s="7" t="inlineStr">
        <is>
          <t>mg/dL</t>
        </is>
      </c>
      <c r="E253" s="7" t="inlineStr">
        <is>
          <t>twoh_ext</t>
        </is>
      </c>
      <c r="F253" s="7" t="inlineStr">
        <is>
          <t>artifacts/research/gt-2h-ext-2026-10-20/two_hour_external_summary.json</t>
        </is>
      </c>
      <c r="G253" s="7" t="inlineStr">
        <is>
          <t>/minus_persistence/120/mean_diff</t>
        </is>
      </c>
      <c r="H253" s="7" t="inlineStr">
        <is>
          <t>2026-10-20T10:10:25+00:00</t>
        </is>
      </c>
      <c r="I253" s="7" t="inlineStr">
        <is>
          <t>58a1ba2570f9fe0026d918d914a11fc508b5083d03ce357bcecfe500220633ee</t>
        </is>
      </c>
      <c r="J253" s="7" t="inlineStr">
        <is>
          <t>protocol configs/experiments/gt-2h-ext-2026-10-20.yaml (first commit c55789a 2026-10-20T15:38:49+05:30)</t>
        </is>
      </c>
      <c r="K253" s="7" t="inlineStr">
        <is>
          <t>local / reproducible-only (git-ignored)</t>
        </is>
      </c>
    </row>
    <row r="254">
      <c r="A254" s="7" t="inlineStr">
        <is>
          <t>2hx.cmp.lo</t>
        </is>
      </c>
      <c r="B254" s="7" t="inlineStr">
        <is>
          <t>External two-hour: minus persistence at 120 min, ci95[0]</t>
        </is>
      </c>
      <c r="C254" s="8" t="n">
        <v>-2.672</v>
      </c>
      <c r="D254" s="7" t="inlineStr">
        <is>
          <t>mg/dL</t>
        </is>
      </c>
      <c r="E254" s="7" t="inlineStr">
        <is>
          <t>twoh_ext</t>
        </is>
      </c>
      <c r="F254" s="7" t="inlineStr">
        <is>
          <t>artifacts/research/gt-2h-ext-2026-10-20/two_hour_external_summary.json</t>
        </is>
      </c>
      <c r="G254" s="7" t="inlineStr">
        <is>
          <t>/minus_persistence/120/ci95[0]</t>
        </is>
      </c>
      <c r="H254" s="7" t="inlineStr">
        <is>
          <t>2026-10-20T10:10:25+00:00</t>
        </is>
      </c>
      <c r="I254" s="7" t="inlineStr">
        <is>
          <t>58a1ba2570f9fe0026d918d914a11fc508b5083d03ce357bcecfe500220633ee</t>
        </is>
      </c>
      <c r="J254" s="7" t="inlineStr">
        <is>
          <t>protocol configs/experiments/gt-2h-ext-2026-10-20.yaml (first commit c55789a 2026-10-20T15:38:49+05:30)</t>
        </is>
      </c>
      <c r="K254" s="7" t="inlineStr">
        <is>
          <t>local / reproducible-only (git-ignored)</t>
        </is>
      </c>
    </row>
    <row r="255">
      <c r="A255" s="7" t="inlineStr">
        <is>
          <t>2hx.cmp.hi</t>
        </is>
      </c>
      <c r="B255" s="7" t="inlineStr">
        <is>
          <t>External two-hour: minus persistence at 120 min, ci95[1]</t>
        </is>
      </c>
      <c r="C255" s="8" t="n">
        <v>-1.526</v>
      </c>
      <c r="D255" s="7" t="inlineStr">
        <is>
          <t>mg/dL</t>
        </is>
      </c>
      <c r="E255" s="7" t="inlineStr">
        <is>
          <t>twoh_ext</t>
        </is>
      </c>
      <c r="F255" s="7" t="inlineStr">
        <is>
          <t>artifacts/research/gt-2h-ext-2026-10-20/two_hour_external_summary.json</t>
        </is>
      </c>
      <c r="G255" s="7" t="inlineStr">
        <is>
          <t>/minus_persistence/120/ci95[1]</t>
        </is>
      </c>
      <c r="H255" s="7" t="inlineStr">
        <is>
          <t>2026-10-20T10:10:25+00:00</t>
        </is>
      </c>
      <c r="I255" s="7" t="inlineStr">
        <is>
          <t>58a1ba2570f9fe0026d918d914a11fc508b5083d03ce357bcecfe500220633ee</t>
        </is>
      </c>
      <c r="J255" s="7" t="inlineStr">
        <is>
          <t>protocol configs/experiments/gt-2h-ext-2026-10-20.yaml (first commit c55789a 2026-10-20T15:38:49+05:30)</t>
        </is>
      </c>
      <c r="K255" s="7" t="inlineStr">
        <is>
          <t>local / reproducible-only (git-ignored)</t>
        </is>
      </c>
    </row>
    <row r="256">
      <c r="A256" s="7" t="inlineStr">
        <is>
          <t>2hx.cmp.improved</t>
        </is>
      </c>
      <c r="B256" s="7" t="inlineStr">
        <is>
          <t>External two-hour: minus persistence at 120 min, improved</t>
        </is>
      </c>
      <c r="C256" s="7" t="n">
        <v>78</v>
      </c>
      <c r="D256" s="7" t="inlineStr">
        <is>
          <t>people</t>
        </is>
      </c>
      <c r="E256" s="7" t="inlineStr">
        <is>
          <t>twoh_ext</t>
        </is>
      </c>
      <c r="F256" s="7" t="inlineStr">
        <is>
          <t>artifacts/research/gt-2h-ext-2026-10-20/two_hour_external_summary.json</t>
        </is>
      </c>
      <c r="G256" s="7" t="inlineStr">
        <is>
          <t>/minus_persistence/120/improved</t>
        </is>
      </c>
      <c r="H256" s="7" t="inlineStr">
        <is>
          <t>2026-10-20T10:10:25+00:00</t>
        </is>
      </c>
      <c r="I256" s="7" t="inlineStr">
        <is>
          <t>58a1ba2570f9fe0026d918d914a11fc508b5083d03ce357bcecfe500220633ee</t>
        </is>
      </c>
      <c r="J256" s="7" t="inlineStr">
        <is>
          <t>protocol configs/experiments/gt-2h-ext-2026-10-20.yaml (first commit c55789a 2026-10-20T15:38:49+05:30)</t>
        </is>
      </c>
      <c r="K256" s="7" t="inlineStr">
        <is>
          <t>local / reproducible-only (git-ignored)</t>
        </is>
      </c>
    </row>
    <row r="257">
      <c r="A257" s="7" t="inlineStr">
        <is>
          <t>2hx.cmp.n</t>
        </is>
      </c>
      <c r="B257" s="7" t="inlineStr">
        <is>
          <t>External two-hour: minus persistence at 120 min, n</t>
        </is>
      </c>
      <c r="C257" s="7" t="n">
        <v>98</v>
      </c>
      <c r="D257" s="7" t="inlineStr">
        <is>
          <t>people</t>
        </is>
      </c>
      <c r="E257" s="7" t="inlineStr">
        <is>
          <t>twoh_ext</t>
        </is>
      </c>
      <c r="F257" s="7" t="inlineStr">
        <is>
          <t>artifacts/research/gt-2h-ext-2026-10-20/two_hour_external_summary.json</t>
        </is>
      </c>
      <c r="G257" s="7" t="inlineStr">
        <is>
          <t>/minus_persistence/120/n</t>
        </is>
      </c>
      <c r="H257" s="7" t="inlineStr">
        <is>
          <t>2026-10-20T10:10:25+00:00</t>
        </is>
      </c>
      <c r="I257" s="7" t="inlineStr">
        <is>
          <t>58a1ba2570f9fe0026d918d914a11fc508b5083d03ce357bcecfe500220633ee</t>
        </is>
      </c>
      <c r="J257" s="7" t="inlineStr">
        <is>
          <t>protocol configs/experiments/gt-2h-ext-2026-10-20.yaml (first commit c55789a 2026-10-20T15:38:49+05:30)</t>
        </is>
      </c>
      <c r="K257" s="7" t="inlineStr">
        <is>
          <t>local / reproducible-only (git-ignored)</t>
        </is>
      </c>
    </row>
    <row r="258">
      <c r="A258" s="7" t="inlineStr">
        <is>
          <t>2hx.cov120</t>
        </is>
      </c>
      <c r="B258" s="7" t="inlineStr">
        <is>
          <t>External two-hour: 80 % range coverage at 120 min</t>
        </is>
      </c>
      <c r="C258" s="8" t="n">
        <v>0.8713605177759498</v>
      </c>
      <c r="D258" s="7" t="inlineStr">
        <is>
          <t>share</t>
        </is>
      </c>
      <c r="E258" s="7" t="inlineStr">
        <is>
          <t>twoh_ext</t>
        </is>
      </c>
      <c r="F258" s="7" t="inlineStr">
        <is>
          <t>artifacts/research/gt-2h-ext-2026-10-20/two_hour_external_summary.json</t>
        </is>
      </c>
      <c r="G258" s="7" t="inlineStr">
        <is>
          <t>/coverage/120</t>
        </is>
      </c>
      <c r="H258" s="7" t="inlineStr">
        <is>
          <t>2026-10-20T10:10:25+00:00</t>
        </is>
      </c>
      <c r="I258" s="7" t="inlineStr">
        <is>
          <t>58a1ba2570f9fe0026d918d914a11fc508b5083d03ce357bcecfe500220633ee</t>
        </is>
      </c>
      <c r="J258" s="7" t="inlineStr">
        <is>
          <t>protocol configs/experiments/gt-2h-ext-2026-10-20.yaml (first commit c55789a 2026-10-20T15:38:49+05:30)</t>
        </is>
      </c>
      <c r="K258" s="7" t="inlineStr">
        <is>
          <t>local / reproducible-only (git-ignored)</t>
        </is>
      </c>
    </row>
    <row r="259">
      <c r="A259" s="7" t="inlineStr">
        <is>
          <t>2hx.participants</t>
        </is>
      </c>
      <c r="B259" s="7" t="inlineStr">
        <is>
          <t>External two-hour participants</t>
        </is>
      </c>
      <c r="C259" s="7" t="n">
        <v>98</v>
      </c>
      <c r="D259" s="7" t="inlineStr">
        <is>
          <t>people</t>
        </is>
      </c>
      <c r="E259" s="7" t="inlineStr">
        <is>
          <t>twoh_ext</t>
        </is>
      </c>
      <c r="F259" s="7" t="inlineStr">
        <is>
          <t>artifacts/research/gt-2h-ext-2026-10-20/two_hour_external_summary.json</t>
        </is>
      </c>
      <c r="G259" s="7" t="inlineStr">
        <is>
          <t>/participants</t>
        </is>
      </c>
      <c r="H259" s="7" t="inlineStr">
        <is>
          <t>2026-10-20T10:10:25+00:00</t>
        </is>
      </c>
      <c r="I259" s="7" t="inlineStr">
        <is>
          <t>58a1ba2570f9fe0026d918d914a11fc508b5083d03ce357bcecfe500220633ee</t>
        </is>
      </c>
      <c r="J259" s="7" t="inlineStr">
        <is>
          <t>protocol configs/experiments/gt-2h-ext-2026-10-20.yaml (first commit c55789a 2026-10-20T15:38:49+05:30)</t>
        </is>
      </c>
      <c r="K259" s="7" t="inlineStr">
        <is>
          <t>local / reproducible-only (git-ignored)</t>
        </is>
      </c>
    </row>
    <row r="260">
      <c r="A260" s="7" t="inlineStr">
        <is>
          <t>2hx.opened_at</t>
        </is>
      </c>
      <c r="B260" s="7" t="inlineStr">
        <is>
          <t>External two-hour assessment opened</t>
        </is>
      </c>
      <c r="C260" s="10" t="n">
        <v>46315.42390046296</v>
      </c>
      <c r="D260" s="7" t="inlineStr">
        <is>
          <t>UTC</t>
        </is>
      </c>
      <c r="E260" s="7" t="inlineStr">
        <is>
          <t>twoh_ext</t>
        </is>
      </c>
      <c r="F260" s="7" t="inlineStr">
        <is>
          <t>artifacts/research/gt-2h-ext-2026-10-20/two_hour_external_summary.json</t>
        </is>
      </c>
      <c r="G260" s="7" t="inlineStr">
        <is>
          <t>/opened/opened_at</t>
        </is>
      </c>
      <c r="H260" s="7" t="inlineStr">
        <is>
          <t>2026-10-20T10:10:25+00:00</t>
        </is>
      </c>
      <c r="I260" s="7" t="inlineStr">
        <is>
          <t>58a1ba2570f9fe0026d918d914a11fc508b5083d03ce357bcecfe500220633ee</t>
        </is>
      </c>
      <c r="J260" s="7" t="inlineStr">
        <is>
          <t>protocol configs/experiments/gt-2h-ext-2026-10-20.yaml (first commit c55789a 2026-10-20T15:38:49+05:30)</t>
        </is>
      </c>
      <c r="K260" s="7" t="inlineStr">
        <is>
          <t>local / reproducible-only (git-ignored)</t>
        </is>
      </c>
    </row>
    <row r="261">
      <c r="A261" s="7" t="inlineStr">
        <is>
          <t>clf.detected_onsets</t>
        </is>
      </c>
      <c r="B261" s="7" t="inlineStr">
        <is>
          <t>Two-hour classifier (D-044): detected_onsets</t>
        </is>
      </c>
      <c r="C261" s="7" t="n">
        <v>329</v>
      </c>
      <c r="D261" s="7" t="inlineStr">
        <is>
          <t>onsets</t>
        </is>
      </c>
      <c r="E261" s="7" t="inlineStr">
        <is>
          <t>clf</t>
        </is>
      </c>
      <c r="F261" s="7" t="inlineStr">
        <is>
          <t>artifacts/research/gt-2h-clf-2026-10-20/summary.json</t>
        </is>
      </c>
      <c r="G261" s="7" t="inlineStr">
        <is>
          <t>/results/selected/detected_onsets</t>
        </is>
      </c>
      <c r="H261" s="7" t="inlineStr">
        <is>
          <t>2026-10-20T09:57:29+00:00</t>
        </is>
      </c>
      <c r="I261" s="7" t="inlineStr">
        <is>
          <t>6953c8edf48886d49461beae2929cd111af4eea44e40e03615a383d9f5e81a52</t>
        </is>
      </c>
      <c r="J261" s="7" t="inlineStr">
        <is>
          <t>protocol configs/experiments/gt-2h-clf-2026-10-20.yaml (first commit 593bdd1 2026-10-20T15:27:02+05:30)</t>
        </is>
      </c>
      <c r="K261" s="7" t="inlineStr">
        <is>
          <t>local / reproducible-only (git-ignored)</t>
        </is>
      </c>
    </row>
    <row r="262">
      <c r="A262" s="7" t="inlineStr">
        <is>
          <t>clf.true_onsets</t>
        </is>
      </c>
      <c r="B262" s="7" t="inlineStr">
        <is>
          <t>Two-hour classifier (D-044): true_onsets</t>
        </is>
      </c>
      <c r="C262" s="7" t="n">
        <v>329</v>
      </c>
      <c r="D262" s="7" t="inlineStr">
        <is>
          <t>onsets</t>
        </is>
      </c>
      <c r="E262" s="7" t="inlineStr">
        <is>
          <t>clf</t>
        </is>
      </c>
      <c r="F262" s="7" t="inlineStr">
        <is>
          <t>artifacts/research/gt-2h-clf-2026-10-20/summary.json</t>
        </is>
      </c>
      <c r="G262" s="7" t="inlineStr">
        <is>
          <t>/results/selected/true_onsets</t>
        </is>
      </c>
      <c r="H262" s="7" t="inlineStr">
        <is>
          <t>2026-10-20T09:57:29+00:00</t>
        </is>
      </c>
      <c r="I262" s="7" t="inlineStr">
        <is>
          <t>6953c8edf48886d49461beae2929cd111af4eea44e40e03615a383d9f5e81a52</t>
        </is>
      </c>
      <c r="J262" s="7" t="inlineStr">
        <is>
          <t>protocol configs/experiments/gt-2h-clf-2026-10-20.yaml (first commit 593bdd1 2026-10-20T15:27:02+05:30)</t>
        </is>
      </c>
      <c r="K262" s="7" t="inlineStr">
        <is>
          <t>local / reproducible-only (git-ignored)</t>
        </is>
      </c>
    </row>
    <row r="263">
      <c r="A263" s="7" t="inlineStr">
        <is>
          <t>clf.false_alarms_per_observed_day</t>
        </is>
      </c>
      <c r="B263" s="7" t="inlineStr">
        <is>
          <t>Two-hour classifier (D-044): false_alarms_per_observed_day</t>
        </is>
      </c>
      <c r="C263" s="8" t="n">
        <v>0.181</v>
      </c>
      <c r="D263" s="7" t="inlineStr">
        <is>
          <t>per observed day</t>
        </is>
      </c>
      <c r="E263" s="7" t="inlineStr">
        <is>
          <t>clf</t>
        </is>
      </c>
      <c r="F263" s="7" t="inlineStr">
        <is>
          <t>artifacts/research/gt-2h-clf-2026-10-20/summary.json</t>
        </is>
      </c>
      <c r="G263" s="7" t="inlineStr">
        <is>
          <t>/results/selected/false_alarms_per_observed_day</t>
        </is>
      </c>
      <c r="H263" s="7" t="inlineStr">
        <is>
          <t>2026-10-20T09:57:29+00:00</t>
        </is>
      </c>
      <c r="I263" s="7" t="inlineStr">
        <is>
          <t>6953c8edf48886d49461beae2929cd111af4eea44e40e03615a383d9f5e81a52</t>
        </is>
      </c>
      <c r="J263" s="7" t="inlineStr">
        <is>
          <t>protocol configs/experiments/gt-2h-clf-2026-10-20.yaml (first commit 593bdd1 2026-10-20T15:27:02+05:30)</t>
        </is>
      </c>
      <c r="K263" s="7" t="inlineStr">
        <is>
          <t>local / reproducible-only (git-ignored)</t>
        </is>
      </c>
    </row>
    <row r="264">
      <c r="A264" s="7" t="inlineStr">
        <is>
          <t>clf.share_of_eligible_time_warning</t>
        </is>
      </c>
      <c r="B264" s="7" t="inlineStr">
        <is>
          <t>Two-hour classifier (D-044): share_of_eligible_time_warning</t>
        </is>
      </c>
      <c r="C264" s="8" t="n">
        <v>0.99</v>
      </c>
      <c r="D264" s="7" t="inlineStr">
        <is>
          <t>share</t>
        </is>
      </c>
      <c r="E264" s="7" t="inlineStr">
        <is>
          <t>clf</t>
        </is>
      </c>
      <c r="F264" s="7" t="inlineStr">
        <is>
          <t>artifacts/research/gt-2h-clf-2026-10-20/summary.json</t>
        </is>
      </c>
      <c r="G264" s="7" t="inlineStr">
        <is>
          <t>/results/selected/share_of_eligible_time_warning</t>
        </is>
      </c>
      <c r="H264" s="7" t="inlineStr">
        <is>
          <t>2026-10-20T09:57:29+00:00</t>
        </is>
      </c>
      <c r="I264" s="7" t="inlineStr">
        <is>
          <t>6953c8edf48886d49461beae2929cd111af4eea44e40e03615a383d9f5e81a52</t>
        </is>
      </c>
      <c r="J264" s="7" t="inlineStr">
        <is>
          <t>protocol configs/experiments/gt-2h-clf-2026-10-20.yaml (first commit 593bdd1 2026-10-20T15:27:02+05:30)</t>
        </is>
      </c>
      <c r="K264" s="7" t="inlineStr">
        <is>
          <t>local / reproducible-only (git-ignored)</t>
        </is>
      </c>
    </row>
    <row r="265">
      <c r="A265" s="7" t="inlineStr">
        <is>
          <t>clf.origin_roc_auc</t>
        </is>
      </c>
      <c r="B265" s="7" t="inlineStr">
        <is>
          <t>Two-hour classifier (D-044): origin_roc_auc</t>
        </is>
      </c>
      <c r="C265" s="8" t="n">
        <v>0.638</v>
      </c>
      <c r="D265" s="7" t="inlineStr">
        <is>
          <t>AUC</t>
        </is>
      </c>
      <c r="E265" s="7" t="inlineStr">
        <is>
          <t>clf</t>
        </is>
      </c>
      <c r="F265" s="7" t="inlineStr">
        <is>
          <t>artifacts/research/gt-2h-clf-2026-10-20/summary.json</t>
        </is>
      </c>
      <c r="G265" s="7" t="inlineStr">
        <is>
          <t>/results/selected/origin_roc_auc</t>
        </is>
      </c>
      <c r="H265" s="7" t="inlineStr">
        <is>
          <t>2026-10-20T09:57:29+00:00</t>
        </is>
      </c>
      <c r="I265" s="7" t="inlineStr">
        <is>
          <t>6953c8edf48886d49461beae2929cd111af4eea44e40e03615a383d9f5e81a52</t>
        </is>
      </c>
      <c r="J265" s="7" t="inlineStr">
        <is>
          <t>protocol configs/experiments/gt-2h-clf-2026-10-20.yaml (first commit 593bdd1 2026-10-20T15:27:02+05:30)</t>
        </is>
      </c>
      <c r="K265" s="7" t="inlineStr">
        <is>
          <t>local / reproducible-only (git-ignored)</t>
        </is>
      </c>
    </row>
    <row r="266">
      <c r="A266" s="7" t="inlineStr">
        <is>
          <t>clf.opened_at</t>
        </is>
      </c>
      <c r="B266" s="7" t="inlineStr">
        <is>
          <t>Classifier assessment opened</t>
        </is>
      </c>
      <c r="C266" s="10" t="n">
        <v>46315.41491898148</v>
      </c>
      <c r="D266" s="7" t="inlineStr">
        <is>
          <t>UTC</t>
        </is>
      </c>
      <c r="E266" s="7" t="inlineStr">
        <is>
          <t>clf</t>
        </is>
      </c>
      <c r="F266" s="7" t="inlineStr">
        <is>
          <t>artifacts/research/gt-2h-clf-2026-10-20/summary.json</t>
        </is>
      </c>
      <c r="G266" s="7" t="inlineStr">
        <is>
          <t>/opened/opened_at</t>
        </is>
      </c>
      <c r="H266" s="7" t="inlineStr">
        <is>
          <t>2026-10-20T09:57:29+00:00</t>
        </is>
      </c>
      <c r="I266" s="7" t="inlineStr">
        <is>
          <t>6953c8edf48886d49461beae2929cd111af4eea44e40e03615a383d9f5e81a52</t>
        </is>
      </c>
      <c r="J266" s="7" t="inlineStr">
        <is>
          <t>protocol configs/experiments/gt-2h-clf-2026-10-20.yaml (first commit 593bdd1 2026-10-20T15:27:02+05:30)</t>
        </is>
      </c>
      <c r="K266" s="7" t="inlineStr">
        <is>
          <t>local / reproducible-only (git-ignored)</t>
        </is>
      </c>
    </row>
    <row r="267">
      <c r="A267" s="7" t="inlineStr">
        <is>
          <t>clf.reopened_at</t>
        </is>
      </c>
      <c r="B267" s="7" t="inlineStr">
        <is>
          <t>Classifier assessment re-opened (post-hoc diagnostic)</t>
        </is>
      </c>
      <c r="C267" s="10" t="n">
        <v>46315.41548611111</v>
      </c>
      <c r="D267" s="7" t="inlineStr">
        <is>
          <t>UTC</t>
        </is>
      </c>
      <c r="E267" s="7" t="inlineStr">
        <is>
          <t>clf</t>
        </is>
      </c>
      <c r="F267" s="7" t="inlineStr">
        <is>
          <t>artifacts/research/gt-2h-clf-2026-10-20/summary.json</t>
        </is>
      </c>
      <c r="G267" s="7" t="inlineStr">
        <is>
          <t>/opened/reopened[0]/at</t>
        </is>
      </c>
      <c r="H267" s="7" t="inlineStr">
        <is>
          <t>2026-10-20T09:57:29+00:00</t>
        </is>
      </c>
      <c r="I267" s="7" t="inlineStr">
        <is>
          <t>6953c8edf48886d49461beae2929cd111af4eea44e40e03615a383d9f5e81a52</t>
        </is>
      </c>
      <c r="J267" s="7" t="inlineStr">
        <is>
          <t>protocol configs/experiments/gt-2h-clf-2026-10-20.yaml (first commit 593bdd1 2026-10-20T15:27:02+05:30)</t>
        </is>
      </c>
      <c r="K267" s="7" t="inlineStr">
        <is>
          <t>local / reproducible-only (git-ignored)</t>
        </is>
      </c>
    </row>
    <row r="268">
      <c r="A268" s="7" t="inlineStr">
        <is>
          <t>wr.b0.cov60</t>
        </is>
      </c>
      <c r="B268" s="7" t="inlineStr">
        <is>
          <t>D-046 ranges B0_calibration, 60 min coverage</t>
        </is>
      </c>
      <c r="C268" s="8" t="n">
        <v>0.7823679619750714</v>
      </c>
      <c r="D268" s="7" t="inlineStr">
        <is>
          <t>share</t>
        </is>
      </c>
      <c r="E268" s="7" t="inlineStr">
        <is>
          <t>warnrange</t>
        </is>
      </c>
      <c r="F268" s="7" t="inlineStr">
        <is>
          <t>artifacts/research/gt-warn-range-2026-10-20/summary.json</t>
        </is>
      </c>
      <c r="G268" s="7" t="inlineStr">
        <is>
          <t>/ranges/B0_calibration/60/coverage_pooled</t>
        </is>
      </c>
      <c r="H268" s="7" t="inlineStr">
        <is>
          <t>2026-10-20T12:24:25+00:00</t>
        </is>
      </c>
      <c r="I268" s="7" t="inlineStr">
        <is>
          <t>cd3ea85aaca21f3765a2e9b12d0be3118c1c19e7a788b6d5d6809ccf03c421bb</t>
        </is>
      </c>
      <c r="J268" s="7" t="inlineStr">
        <is>
          <t>protocol configs/experiments/gt-warn-range-2026-10-20.yaml (first commit aeaa93e 2026-10-20T17:51:52+05:30)</t>
        </is>
      </c>
      <c r="K268" s="7" t="inlineStr">
        <is>
          <t>local / reproducible-only (git-ignored)</t>
        </is>
      </c>
    </row>
    <row r="269">
      <c r="A269" s="7" t="inlineStr">
        <is>
          <t>wr.b0.width60</t>
        </is>
      </c>
      <c r="B269" s="7" t="inlineStr">
        <is>
          <t>D-046 ranges B0_calibration, 60 min mean width</t>
        </is>
      </c>
      <c r="C269" s="8" t="n">
        <v>66.40525052707477</v>
      </c>
      <c r="D269" s="7" t="inlineStr">
        <is>
          <t>mg/dL</t>
        </is>
      </c>
      <c r="E269" s="7" t="inlineStr">
        <is>
          <t>warnrange</t>
        </is>
      </c>
      <c r="F269" s="7" t="inlineStr">
        <is>
          <t>artifacts/research/gt-warn-range-2026-10-20/summary.json</t>
        </is>
      </c>
      <c r="G269" s="7" t="inlineStr">
        <is>
          <t>/ranges/B0_calibration/60/width_mean</t>
        </is>
      </c>
      <c r="H269" s="7" t="inlineStr">
        <is>
          <t>2026-10-20T12:24:25+00:00</t>
        </is>
      </c>
      <c r="I269" s="7" t="inlineStr">
        <is>
          <t>cd3ea85aaca21f3765a2e9b12d0be3118c1c19e7a788b6d5d6809ccf03c421bb</t>
        </is>
      </c>
      <c r="J269" s="7" t="inlineStr">
        <is>
          <t>protocol configs/experiments/gt-warn-range-2026-10-20.yaml (first commit aeaa93e 2026-10-20T17:51:52+05:30)</t>
        </is>
      </c>
      <c r="K269" s="7" t="inlineStr">
        <is>
          <t>local / reproducible-only (git-ignored)</t>
        </is>
      </c>
    </row>
    <row r="270">
      <c r="A270" s="7" t="inlineStr">
        <is>
          <t>wr.b0.cov120</t>
        </is>
      </c>
      <c r="B270" s="7" t="inlineStr">
        <is>
          <t>D-046 ranges B0_calibration, 120 min coverage</t>
        </is>
      </c>
      <c r="C270" s="8" t="n">
        <v>0.7648791387365428</v>
      </c>
      <c r="D270" s="7" t="inlineStr">
        <is>
          <t>share</t>
        </is>
      </c>
      <c r="E270" s="7" t="inlineStr">
        <is>
          <t>warnrange</t>
        </is>
      </c>
      <c r="F270" s="7" t="inlineStr">
        <is>
          <t>artifacts/research/gt-warn-range-2026-10-20/summary.json</t>
        </is>
      </c>
      <c r="G270" s="7" t="inlineStr">
        <is>
          <t>/ranges/B0_calibration/120/coverage_pooled</t>
        </is>
      </c>
      <c r="H270" s="7" t="inlineStr">
        <is>
          <t>2026-10-20T12:24:25+00:00</t>
        </is>
      </c>
      <c r="I270" s="7" t="inlineStr">
        <is>
          <t>cd3ea85aaca21f3765a2e9b12d0be3118c1c19e7a788b6d5d6809ccf03c421bb</t>
        </is>
      </c>
      <c r="J270" s="7" t="inlineStr">
        <is>
          <t>protocol configs/experiments/gt-warn-range-2026-10-20.yaml (first commit aeaa93e 2026-10-20T17:51:52+05:30)</t>
        </is>
      </c>
      <c r="K270" s="7" t="inlineStr">
        <is>
          <t>local / reproducible-only (git-ignored)</t>
        </is>
      </c>
    </row>
    <row r="271">
      <c r="A271" s="7" t="inlineStr">
        <is>
          <t>wr.b0.width120</t>
        </is>
      </c>
      <c r="B271" s="7" t="inlineStr">
        <is>
          <t>D-046 ranges B0_calibration, 120 min mean width</t>
        </is>
      </c>
      <c r="C271" s="8" t="n">
        <v>88.45097821102597</v>
      </c>
      <c r="D271" s="7" t="inlineStr">
        <is>
          <t>mg/dL</t>
        </is>
      </c>
      <c r="E271" s="7" t="inlineStr">
        <is>
          <t>warnrange</t>
        </is>
      </c>
      <c r="F271" s="7" t="inlineStr">
        <is>
          <t>artifacts/research/gt-warn-range-2026-10-20/summary.json</t>
        </is>
      </c>
      <c r="G271" s="7" t="inlineStr">
        <is>
          <t>/ranges/B0_calibration/120/width_mean</t>
        </is>
      </c>
      <c r="H271" s="7" t="inlineStr">
        <is>
          <t>2026-10-20T12:24:25+00:00</t>
        </is>
      </c>
      <c r="I271" s="7" t="inlineStr">
        <is>
          <t>cd3ea85aaca21f3765a2e9b12d0be3118c1c19e7a788b6d5d6809ccf03c421bb</t>
        </is>
      </c>
      <c r="J271" s="7" t="inlineStr">
        <is>
          <t>protocol configs/experiments/gt-warn-range-2026-10-20.yaml (first commit aeaa93e 2026-10-20T17:51:52+05:30)</t>
        </is>
      </c>
      <c r="K271" s="7" t="inlineStr">
        <is>
          <t>local / reproducible-only (git-ignored)</t>
        </is>
      </c>
    </row>
    <row r="272">
      <c r="A272" s="7" t="inlineStr">
        <is>
          <t>wr.b1.cov60</t>
        </is>
      </c>
      <c r="B272" s="7" t="inlineStr">
        <is>
          <t>D-046 ranges B1_pooled, 60 min coverage</t>
        </is>
      </c>
      <c r="C272" s="8" t="n">
        <v>0.7954895962379592</v>
      </c>
      <c r="D272" s="7" t="inlineStr">
        <is>
          <t>share</t>
        </is>
      </c>
      <c r="E272" s="7" t="inlineStr">
        <is>
          <t>warnrange</t>
        </is>
      </c>
      <c r="F272" s="7" t="inlineStr">
        <is>
          <t>artifacts/research/gt-warn-range-2026-10-20/summary.json</t>
        </is>
      </c>
      <c r="G272" s="7" t="inlineStr">
        <is>
          <t>/ranges/B1_pooled/60/coverage_pooled</t>
        </is>
      </c>
      <c r="H272" s="7" t="inlineStr">
        <is>
          <t>2026-10-20T12:24:25+00:00</t>
        </is>
      </c>
      <c r="I272" s="7" t="inlineStr">
        <is>
          <t>cd3ea85aaca21f3765a2e9b12d0be3118c1c19e7a788b6d5d6809ccf03c421bb</t>
        </is>
      </c>
      <c r="J272" s="7" t="inlineStr">
        <is>
          <t>protocol configs/experiments/gt-warn-range-2026-10-20.yaml (first commit aeaa93e 2026-10-20T17:51:52+05:30)</t>
        </is>
      </c>
      <c r="K272" s="7" t="inlineStr">
        <is>
          <t>local / reproducible-only (git-ignored)</t>
        </is>
      </c>
    </row>
    <row r="273">
      <c r="A273" s="7" t="inlineStr">
        <is>
          <t>wr.b1.width60</t>
        </is>
      </c>
      <c r="B273" s="7" t="inlineStr">
        <is>
          <t>D-046 ranges B1_pooled, 60 min mean width</t>
        </is>
      </c>
      <c r="C273" s="8" t="n">
        <v>68.45107672997436</v>
      </c>
      <c r="D273" s="7" t="inlineStr">
        <is>
          <t>mg/dL</t>
        </is>
      </c>
      <c r="E273" s="7" t="inlineStr">
        <is>
          <t>warnrange</t>
        </is>
      </c>
      <c r="F273" s="7" t="inlineStr">
        <is>
          <t>artifacts/research/gt-warn-range-2026-10-20/summary.json</t>
        </is>
      </c>
      <c r="G273" s="7" t="inlineStr">
        <is>
          <t>/ranges/B1_pooled/60/width_mean</t>
        </is>
      </c>
      <c r="H273" s="7" t="inlineStr">
        <is>
          <t>2026-10-20T12:24:25+00:00</t>
        </is>
      </c>
      <c r="I273" s="7" t="inlineStr">
        <is>
          <t>cd3ea85aaca21f3765a2e9b12d0be3118c1c19e7a788b6d5d6809ccf03c421bb</t>
        </is>
      </c>
      <c r="J273" s="7" t="inlineStr">
        <is>
          <t>protocol configs/experiments/gt-warn-range-2026-10-20.yaml (first commit aeaa93e 2026-10-20T17:51:52+05:30)</t>
        </is>
      </c>
      <c r="K273" s="7" t="inlineStr">
        <is>
          <t>local / reproducible-only (git-ignored)</t>
        </is>
      </c>
    </row>
    <row r="274">
      <c r="A274" s="7" t="inlineStr">
        <is>
          <t>wr.b1.cov120</t>
        </is>
      </c>
      <c r="B274" s="7" t="inlineStr">
        <is>
          <t>D-046 ranges B1_pooled, 120 min coverage</t>
        </is>
      </c>
      <c r="C274" s="8" t="n">
        <v>0.7981159861872842</v>
      </c>
      <c r="D274" s="7" t="inlineStr">
        <is>
          <t>share</t>
        </is>
      </c>
      <c r="E274" s="7" t="inlineStr">
        <is>
          <t>warnrange</t>
        </is>
      </c>
      <c r="F274" s="7" t="inlineStr">
        <is>
          <t>artifacts/research/gt-warn-range-2026-10-20/summary.json</t>
        </is>
      </c>
      <c r="G274" s="7" t="inlineStr">
        <is>
          <t>/ranges/B1_pooled/120/coverage_pooled</t>
        </is>
      </c>
      <c r="H274" s="7" t="inlineStr">
        <is>
          <t>2026-10-20T12:24:25+00:00</t>
        </is>
      </c>
      <c r="I274" s="7" t="inlineStr">
        <is>
          <t>cd3ea85aaca21f3765a2e9b12d0be3118c1c19e7a788b6d5d6809ccf03c421bb</t>
        </is>
      </c>
      <c r="J274" s="7" t="inlineStr">
        <is>
          <t>protocol configs/experiments/gt-warn-range-2026-10-20.yaml (first commit aeaa93e 2026-10-20T17:51:52+05:30)</t>
        </is>
      </c>
      <c r="K274" s="7" t="inlineStr">
        <is>
          <t>local / reproducible-only (git-ignored)</t>
        </is>
      </c>
    </row>
    <row r="275">
      <c r="A275" s="7" t="inlineStr">
        <is>
          <t>wr.b1.width120</t>
        </is>
      </c>
      <c r="B275" s="7" t="inlineStr">
        <is>
          <t>D-046 ranges B1_pooled, 120 min mean width</t>
        </is>
      </c>
      <c r="C275" s="8" t="n">
        <v>95.10829725583514</v>
      </c>
      <c r="D275" s="7" t="inlineStr">
        <is>
          <t>mg/dL</t>
        </is>
      </c>
      <c r="E275" s="7" t="inlineStr">
        <is>
          <t>warnrange</t>
        </is>
      </c>
      <c r="F275" s="7" t="inlineStr">
        <is>
          <t>artifacts/research/gt-warn-range-2026-10-20/summary.json</t>
        </is>
      </c>
      <c r="G275" s="7" t="inlineStr">
        <is>
          <t>/ranges/B1_pooled/120/width_mean</t>
        </is>
      </c>
      <c r="H275" s="7" t="inlineStr">
        <is>
          <t>2026-10-20T12:24:25+00:00</t>
        </is>
      </c>
      <c r="I275" s="7" t="inlineStr">
        <is>
          <t>cd3ea85aaca21f3765a2e9b12d0be3118c1c19e7a788b6d5d6809ccf03c421bb</t>
        </is>
      </c>
      <c r="J275" s="7" t="inlineStr">
        <is>
          <t>protocol configs/experiments/gt-warn-range-2026-10-20.yaml (first commit aeaa93e 2026-10-20T17:51:52+05:30)</t>
        </is>
      </c>
      <c r="K275" s="7" t="inlineStr">
        <is>
          <t>local / reproducible-only (git-ignored)</t>
        </is>
      </c>
    </row>
    <row r="276">
      <c r="A276" s="7" t="inlineStr">
        <is>
          <t>wr.b1.pmed120</t>
        </is>
      </c>
      <c r="B276" s="7" t="inlineStr">
        <is>
          <t>D-046 pooled ranges: per-person median coverage, 120 min</t>
        </is>
      </c>
      <c r="C276" s="8" t="n">
        <v>0.8116166480786779</v>
      </c>
      <c r="D276" s="7" t="inlineStr">
        <is>
          <t>share</t>
        </is>
      </c>
      <c r="E276" s="7" t="inlineStr">
        <is>
          <t>warnrange</t>
        </is>
      </c>
      <c r="F276" s="7" t="inlineStr">
        <is>
          <t>artifacts/research/gt-warn-range-2026-10-20/summary.json</t>
        </is>
      </c>
      <c r="G276" s="7" t="inlineStr">
        <is>
          <t>/ranges/B1_pooled/120/coverage_participant_median</t>
        </is>
      </c>
      <c r="H276" s="7" t="inlineStr">
        <is>
          <t>2026-10-20T12:24:25+00:00</t>
        </is>
      </c>
      <c r="I276" s="7" t="inlineStr">
        <is>
          <t>cd3ea85aaca21f3765a2e9b12d0be3118c1c19e7a788b6d5d6809ccf03c421bb</t>
        </is>
      </c>
      <c r="J276" s="7" t="inlineStr">
        <is>
          <t>protocol configs/experiments/gt-warn-range-2026-10-20.yaml (first commit aeaa93e 2026-10-20T17:51:52+05:30)</t>
        </is>
      </c>
      <c r="K276" s="7" t="inlineStr">
        <is>
          <t>local / reproducible-only (git-ignored)</t>
        </is>
      </c>
    </row>
    <row r="277">
      <c r="A277" s="7" t="inlineStr">
        <is>
          <t>wr.early.sel</t>
        </is>
      </c>
      <c r="B277" s="7" t="inlineStr">
        <is>
          <t>D-046 A: onsets warned ≥ 30 min ahead, selected arm</t>
        </is>
      </c>
      <c r="C277" s="7" t="n">
        <v>126</v>
      </c>
      <c r="D277" s="7" t="inlineStr">
        <is>
          <t>onsets</t>
        </is>
      </c>
      <c r="E277" s="7" t="inlineStr">
        <is>
          <t>warnrange</t>
        </is>
      </c>
      <c r="F277" s="7" t="inlineStr">
        <is>
          <t>artifacts/research/gt-warn-range-2026-10-20/summary.json</t>
        </is>
      </c>
      <c r="G277" s="7" t="inlineStr">
        <is>
          <t>/warnings/selected/early</t>
        </is>
      </c>
      <c r="H277" s="7" t="inlineStr">
        <is>
          <t>2026-10-20T12:24:25+00:00</t>
        </is>
      </c>
      <c r="I277" s="7" t="inlineStr">
        <is>
          <t>cd3ea85aaca21f3765a2e9b12d0be3118c1c19e7a788b6d5d6809ccf03c421bb</t>
        </is>
      </c>
      <c r="J277" s="7" t="inlineStr">
        <is>
          <t>protocol configs/experiments/gt-warn-range-2026-10-20.yaml (first commit aeaa93e 2026-10-20T17:51:52+05:30)</t>
        </is>
      </c>
      <c r="K277" s="7" t="inlineStr">
        <is>
          <t>local / reproducible-only (git-ignored)</t>
        </is>
      </c>
    </row>
    <row r="278">
      <c r="A278" s="7" t="inlineStr">
        <is>
          <t>wr.early.inc</t>
        </is>
      </c>
      <c r="B278" s="7" t="inlineStr">
        <is>
          <t>D-046 A: onsets warned ≥ 30 min ahead, incumbent</t>
        </is>
      </c>
      <c r="C278" s="7" t="n">
        <v>123</v>
      </c>
      <c r="D278" s="7" t="inlineStr">
        <is>
          <t>onsets</t>
        </is>
      </c>
      <c r="E278" s="7" t="inlineStr">
        <is>
          <t>warnrange</t>
        </is>
      </c>
      <c r="F278" s="7" t="inlineStr">
        <is>
          <t>artifacts/research/gt-warn-range-2026-10-20/summary.json</t>
        </is>
      </c>
      <c r="G278" s="7" t="inlineStr">
        <is>
          <t>/warnings/incumbent/early</t>
        </is>
      </c>
      <c r="H278" s="7" t="inlineStr">
        <is>
          <t>2026-10-20T12:24:25+00:00</t>
        </is>
      </c>
      <c r="I278" s="7" t="inlineStr">
        <is>
          <t>cd3ea85aaca21f3765a2e9b12d0be3118c1c19e7a788b6d5d6809ccf03c421bb</t>
        </is>
      </c>
      <c r="J278" s="7" t="inlineStr">
        <is>
          <t>protocol configs/experiments/gt-warn-range-2026-10-20.yaml (first commit aeaa93e 2026-10-20T17:51:52+05:30)</t>
        </is>
      </c>
      <c r="K278" s="7" t="inlineStr">
        <is>
          <t>local / reproducible-only (git-ignored)</t>
        </is>
      </c>
    </row>
    <row r="279">
      <c r="A279" s="7" t="inlineStr">
        <is>
          <t>wr.onsets</t>
        </is>
      </c>
      <c r="B279" s="7" t="inlineStr">
        <is>
          <t>D-046 A: onsets (denominator)</t>
        </is>
      </c>
      <c r="C279" s="7" t="n">
        <v>329</v>
      </c>
      <c r="D279" s="7" t="inlineStr">
        <is>
          <t>onsets</t>
        </is>
      </c>
      <c r="E279" s="7" t="inlineStr">
        <is>
          <t>warnrange</t>
        </is>
      </c>
      <c r="F279" s="7" t="inlineStr">
        <is>
          <t>artifacts/research/gt-warn-range-2026-10-20/summary.json</t>
        </is>
      </c>
      <c r="G279" s="7" t="inlineStr">
        <is>
          <t>/warnings/selected/onsets</t>
        </is>
      </c>
      <c r="H279" s="7" t="inlineStr">
        <is>
          <t>2026-10-20T12:24:25+00:00</t>
        </is>
      </c>
      <c r="I279" s="7" t="inlineStr">
        <is>
          <t>cd3ea85aaca21f3765a2e9b12d0be3118c1c19e7a788b6d5d6809ccf03c421bb</t>
        </is>
      </c>
      <c r="J279" s="7" t="inlineStr">
        <is>
          <t>protocol configs/experiments/gt-warn-range-2026-10-20.yaml (first commit aeaa93e 2026-10-20T17:51:52+05:30)</t>
        </is>
      </c>
      <c r="K279" s="7" t="inlineStr">
        <is>
          <t>local / reproducible-only (git-ignored)</t>
        </is>
      </c>
    </row>
    <row r="280">
      <c r="A280" s="7" t="inlineStr">
        <is>
          <t>wr.lead.sel</t>
        </is>
      </c>
      <c r="B280" s="7" t="inlineStr">
        <is>
          <t>D-046 A: median lead, selected arm</t>
        </is>
      </c>
      <c r="C280" s="8" t="n">
        <v>15</v>
      </c>
      <c r="D280" s="7" t="inlineStr">
        <is>
          <t>min</t>
        </is>
      </c>
      <c r="E280" s="7" t="inlineStr">
        <is>
          <t>warnrange</t>
        </is>
      </c>
      <c r="F280" s="7" t="inlineStr">
        <is>
          <t>artifacts/research/gt-warn-range-2026-10-20/summary.json</t>
        </is>
      </c>
      <c r="G280" s="7" t="inlineStr">
        <is>
          <t>/warnings/selected/lead_median</t>
        </is>
      </c>
      <c r="H280" s="7" t="inlineStr">
        <is>
          <t>2026-10-20T12:24:25+00:00</t>
        </is>
      </c>
      <c r="I280" s="7" t="inlineStr">
        <is>
          <t>cd3ea85aaca21f3765a2e9b12d0be3118c1c19e7a788b6d5d6809ccf03c421bb</t>
        </is>
      </c>
      <c r="J280" s="7" t="inlineStr">
        <is>
          <t>protocol configs/experiments/gt-warn-range-2026-10-20.yaml (first commit aeaa93e 2026-10-20T17:51:52+05:30)</t>
        </is>
      </c>
      <c r="K280" s="7" t="inlineStr">
        <is>
          <t>local / reproducible-only (git-ignored)</t>
        </is>
      </c>
    </row>
    <row r="281">
      <c r="A281" s="7" t="inlineStr">
        <is>
          <t>wr.diff.d</t>
        </is>
      </c>
      <c r="B281" s="7" t="inlineStr">
        <is>
          <t>D-046 A: early-share difference selected − incumbent</t>
        </is>
      </c>
      <c r="C281" s="8" t="n">
        <v>0.00911854103343465</v>
      </c>
      <c r="D281" s="7" t="inlineStr">
        <is>
          <t>share</t>
        </is>
      </c>
      <c r="E281" s="7" t="inlineStr">
        <is>
          <t>warnrange</t>
        </is>
      </c>
      <c r="F281" s="7" t="inlineStr">
        <is>
          <t>artifacts/research/gt-warn-range-2026-10-20/summary.json</t>
        </is>
      </c>
      <c r="G281" s="7" t="inlineStr">
        <is>
          <t>/warning_diff_selected_minus_incumbent/early_share_diff</t>
        </is>
      </c>
      <c r="H281" s="7" t="inlineStr">
        <is>
          <t>2026-10-20T12:24:25+00:00</t>
        </is>
      </c>
      <c r="I281" s="7" t="inlineStr">
        <is>
          <t>cd3ea85aaca21f3765a2e9b12d0be3118c1c19e7a788b6d5d6809ccf03c421bb</t>
        </is>
      </c>
      <c r="J281" s="7" t="inlineStr">
        <is>
          <t>protocol configs/experiments/gt-warn-range-2026-10-20.yaml (first commit aeaa93e 2026-10-20T17:51:52+05:30)</t>
        </is>
      </c>
      <c r="K281" s="7" t="inlineStr">
        <is>
          <t>local / reproducible-only (git-ignored)</t>
        </is>
      </c>
    </row>
    <row r="282">
      <c r="A282" s="7" t="inlineStr">
        <is>
          <t>wr.diff.lo</t>
        </is>
      </c>
      <c r="B282" s="7" t="inlineStr">
        <is>
          <t>95 % CI lower</t>
        </is>
      </c>
      <c r="C282" s="8" t="n">
        <v>-0.05484855588897224</v>
      </c>
      <c r="D282" s="7" t="inlineStr">
        <is>
          <t>share</t>
        </is>
      </c>
      <c r="E282" s="7" t="inlineStr">
        <is>
          <t>warnrange</t>
        </is>
      </c>
      <c r="F282" s="7" t="inlineStr">
        <is>
          <t>artifacts/research/gt-warn-range-2026-10-20/summary.json</t>
        </is>
      </c>
      <c r="G282" s="7" t="inlineStr">
        <is>
          <t>/warning_diff_selected_minus_incumbent/early_share_ci95[0]</t>
        </is>
      </c>
      <c r="H282" s="7" t="inlineStr">
        <is>
          <t>2026-10-20T12:24:25+00:00</t>
        </is>
      </c>
      <c r="I282" s="7" t="inlineStr">
        <is>
          <t>cd3ea85aaca21f3765a2e9b12d0be3118c1c19e7a788b6d5d6809ccf03c421bb</t>
        </is>
      </c>
      <c r="J282" s="7" t="inlineStr">
        <is>
          <t>protocol configs/experiments/gt-warn-range-2026-10-20.yaml (first commit aeaa93e 2026-10-20T17:51:52+05:30)</t>
        </is>
      </c>
      <c r="K282" s="7" t="inlineStr">
        <is>
          <t>local / reproducible-only (git-ignored)</t>
        </is>
      </c>
    </row>
    <row r="283">
      <c r="A283" s="7" t="inlineStr">
        <is>
          <t>wr.diff.hi</t>
        </is>
      </c>
      <c r="B283" s="7" t="inlineStr">
        <is>
          <t>95 % CI upper</t>
        </is>
      </c>
      <c r="C283" s="8" t="n">
        <v>0.06632183908045973</v>
      </c>
      <c r="D283" s="7" t="inlineStr">
        <is>
          <t>share</t>
        </is>
      </c>
      <c r="E283" s="7" t="inlineStr">
        <is>
          <t>warnrange</t>
        </is>
      </c>
      <c r="F283" s="7" t="inlineStr">
        <is>
          <t>artifacts/research/gt-warn-range-2026-10-20/summary.json</t>
        </is>
      </c>
      <c r="G283" s="7" t="inlineStr">
        <is>
          <t>/warning_diff_selected_minus_incumbent/early_share_ci95[1]</t>
        </is>
      </c>
      <c r="H283" s="7" t="inlineStr">
        <is>
          <t>2026-10-20T12:24:25+00:00</t>
        </is>
      </c>
      <c r="I283" s="7" t="inlineStr">
        <is>
          <t>cd3ea85aaca21f3765a2e9b12d0be3118c1c19e7a788b6d5d6809ccf03c421bb</t>
        </is>
      </c>
      <c r="J283" s="7" t="inlineStr">
        <is>
          <t>protocol configs/experiments/gt-warn-range-2026-10-20.yaml (first commit aeaa93e 2026-10-20T17:51:52+05:30)</t>
        </is>
      </c>
      <c r="K283" s="7" t="inlineStr">
        <is>
          <t>local / reproducible-only (git-ignored)</t>
        </is>
      </c>
    </row>
    <row r="284">
      <c r="A284" s="7" t="inlineStr">
        <is>
          <t>wr.prior.all.d</t>
        </is>
      </c>
      <c r="B284" s="7" t="inlineStr">
        <is>
          <t>D-046 C: profile prior minus population, 120 min (all)</t>
        </is>
      </c>
      <c r="C284" s="8" t="n">
        <v>-0.5320612265160362</v>
      </c>
      <c r="D284" s="7" t="inlineStr">
        <is>
          <t>mg/dL</t>
        </is>
      </c>
      <c r="E284" s="7" t="inlineStr">
        <is>
          <t>warnrange</t>
        </is>
      </c>
      <c r="F284" s="7" t="inlineStr">
        <is>
          <t>artifacts/research/gt-warn-range-2026-10-20/summary.json</t>
        </is>
      </c>
      <c r="G284" s="7" t="inlineStr">
        <is>
          <t>/profile_prior/all/120/c1_minus_population/mean_diff</t>
        </is>
      </c>
      <c r="H284" s="7" t="inlineStr">
        <is>
          <t>2026-10-20T12:24:25+00:00</t>
        </is>
      </c>
      <c r="I284" s="7" t="inlineStr">
        <is>
          <t>cd3ea85aaca21f3765a2e9b12d0be3118c1c19e7a788b6d5d6809ccf03c421bb</t>
        </is>
      </c>
      <c r="J284" s="7" t="inlineStr">
        <is>
          <t>protocol configs/experiments/gt-warn-range-2026-10-20.yaml (first commit aeaa93e 2026-10-20T17:51:52+05:30)</t>
        </is>
      </c>
      <c r="K284" s="7" t="inlineStr">
        <is>
          <t>local / reproducible-only (git-ignored)</t>
        </is>
      </c>
    </row>
    <row r="285">
      <c r="A285" s="7" t="inlineStr">
        <is>
          <t>wr.prior.all.lo</t>
        </is>
      </c>
      <c r="B285" s="7" t="inlineStr">
        <is>
          <t>95 % CI lower</t>
        </is>
      </c>
      <c r="C285" s="8" t="n">
        <v>-1.571993258468555</v>
      </c>
      <c r="D285" s="7" t="inlineStr">
        <is>
          <t>mg/dL</t>
        </is>
      </c>
      <c r="E285" s="7" t="inlineStr">
        <is>
          <t>warnrange</t>
        </is>
      </c>
      <c r="F285" s="7" t="inlineStr">
        <is>
          <t>artifacts/research/gt-warn-range-2026-10-20/summary.json</t>
        </is>
      </c>
      <c r="G285" s="7" t="inlineStr">
        <is>
          <t>/profile_prior/all/120/c1_minus_population/ci95[0]</t>
        </is>
      </c>
      <c r="H285" s="7" t="inlineStr">
        <is>
          <t>2026-10-20T12:24:25+00:00</t>
        </is>
      </c>
      <c r="I285" s="7" t="inlineStr">
        <is>
          <t>cd3ea85aaca21f3765a2e9b12d0be3118c1c19e7a788b6d5d6809ccf03c421bb</t>
        </is>
      </c>
      <c r="J285" s="7" t="inlineStr">
        <is>
          <t>protocol configs/experiments/gt-warn-range-2026-10-20.yaml (first commit aeaa93e 2026-10-20T17:51:52+05:30)</t>
        </is>
      </c>
      <c r="K285" s="7" t="inlineStr">
        <is>
          <t>local / reproducible-only (git-ignored)</t>
        </is>
      </c>
    </row>
    <row r="286">
      <c r="A286" s="7" t="inlineStr">
        <is>
          <t>wr.prior.all.hi</t>
        </is>
      </c>
      <c r="B286" s="7" t="inlineStr">
        <is>
          <t>95 % CI upper</t>
        </is>
      </c>
      <c r="C286" s="8" t="n">
        <v>0.5825984668218389</v>
      </c>
      <c r="D286" s="7" t="inlineStr">
        <is>
          <t>mg/dL</t>
        </is>
      </c>
      <c r="E286" s="7" t="inlineStr">
        <is>
          <t>warnrange</t>
        </is>
      </c>
      <c r="F286" s="7" t="inlineStr">
        <is>
          <t>artifacts/research/gt-warn-range-2026-10-20/summary.json</t>
        </is>
      </c>
      <c r="G286" s="7" t="inlineStr">
        <is>
          <t>/profile_prior/all/120/c1_minus_population/ci95[1]</t>
        </is>
      </c>
      <c r="H286" s="7" t="inlineStr">
        <is>
          <t>2026-10-20T12:24:25+00:00</t>
        </is>
      </c>
      <c r="I286" s="7" t="inlineStr">
        <is>
          <t>cd3ea85aaca21f3765a2e9b12d0be3118c1c19e7a788b6d5d6809ccf03c421bb</t>
        </is>
      </c>
      <c r="J286" s="7" t="inlineStr">
        <is>
          <t>protocol configs/experiments/gt-warn-range-2026-10-20.yaml (first commit aeaa93e 2026-10-20T17:51:52+05:30)</t>
        </is>
      </c>
      <c r="K286" s="7" t="inlineStr">
        <is>
          <t>local / reproducible-only (git-ignored)</t>
        </is>
      </c>
    </row>
    <row r="287">
      <c r="A287" s="7" t="inlineStr">
        <is>
          <t>wr.prior.d1.d</t>
        </is>
      </c>
      <c r="B287" s="7" t="inlineStr">
        <is>
          <t>D-046 C: profile prior minus population, 120 min (first_24h)</t>
        </is>
      </c>
      <c r="C287" s="8" t="n">
        <v>-0.9275107449871738</v>
      </c>
      <c r="D287" s="7" t="inlineStr">
        <is>
          <t>mg/dL</t>
        </is>
      </c>
      <c r="E287" s="7" t="inlineStr">
        <is>
          <t>warnrange</t>
        </is>
      </c>
      <c r="F287" s="7" t="inlineStr">
        <is>
          <t>artifacts/research/gt-warn-range-2026-10-20/summary.json</t>
        </is>
      </c>
      <c r="G287" s="7" t="inlineStr">
        <is>
          <t>/profile_prior/first_24h/120/c1_minus_population/mean_diff</t>
        </is>
      </c>
      <c r="H287" s="7" t="inlineStr">
        <is>
          <t>2026-10-20T12:24:25+00:00</t>
        </is>
      </c>
      <c r="I287" s="7" t="inlineStr">
        <is>
          <t>cd3ea85aaca21f3765a2e9b12d0be3118c1c19e7a788b6d5d6809ccf03c421bb</t>
        </is>
      </c>
      <c r="J287" s="7" t="inlineStr">
        <is>
          <t>protocol configs/experiments/gt-warn-range-2026-10-20.yaml (first commit aeaa93e 2026-10-20T17:51:52+05:30)</t>
        </is>
      </c>
      <c r="K287" s="7" t="inlineStr">
        <is>
          <t>local / reproducible-only (git-ignored)</t>
        </is>
      </c>
    </row>
    <row r="288">
      <c r="A288" s="7" t="inlineStr">
        <is>
          <t>wr.prior.d1.lo</t>
        </is>
      </c>
      <c r="B288" s="7" t="inlineStr">
        <is>
          <t>95 % CI lower</t>
        </is>
      </c>
      <c r="C288" s="8" t="n">
        <v>-2.73862331480816</v>
      </c>
      <c r="D288" s="7" t="inlineStr">
        <is>
          <t>mg/dL</t>
        </is>
      </c>
      <c r="E288" s="7" t="inlineStr">
        <is>
          <t>warnrange</t>
        </is>
      </c>
      <c r="F288" s="7" t="inlineStr">
        <is>
          <t>artifacts/research/gt-warn-range-2026-10-20/summary.json</t>
        </is>
      </c>
      <c r="G288" s="7" t="inlineStr">
        <is>
          <t>/profile_prior/first_24h/120/c1_minus_population/ci95[0]</t>
        </is>
      </c>
      <c r="H288" s="7" t="inlineStr">
        <is>
          <t>2026-10-20T12:24:25+00:00</t>
        </is>
      </c>
      <c r="I288" s="7" t="inlineStr">
        <is>
          <t>cd3ea85aaca21f3765a2e9b12d0be3118c1c19e7a788b6d5d6809ccf03c421bb</t>
        </is>
      </c>
      <c r="J288" s="7" t="inlineStr">
        <is>
          <t>protocol configs/experiments/gt-warn-range-2026-10-20.yaml (first commit aeaa93e 2026-10-20T17:51:52+05:30)</t>
        </is>
      </c>
      <c r="K288" s="7" t="inlineStr">
        <is>
          <t>local / reproducible-only (git-ignored)</t>
        </is>
      </c>
    </row>
    <row r="289">
      <c r="A289" s="7" t="inlineStr">
        <is>
          <t>wr.prior.d1.hi</t>
        </is>
      </c>
      <c r="B289" s="7" t="inlineStr">
        <is>
          <t>95 % CI upper</t>
        </is>
      </c>
      <c r="C289" s="8" t="n">
        <v>0.4811506494582448</v>
      </c>
      <c r="D289" s="7" t="inlineStr">
        <is>
          <t>mg/dL</t>
        </is>
      </c>
      <c r="E289" s="7" t="inlineStr">
        <is>
          <t>warnrange</t>
        </is>
      </c>
      <c r="F289" s="7" t="inlineStr">
        <is>
          <t>artifacts/research/gt-warn-range-2026-10-20/summary.json</t>
        </is>
      </c>
      <c r="G289" s="7" t="inlineStr">
        <is>
          <t>/profile_prior/first_24h/120/c1_minus_population/ci95[1]</t>
        </is>
      </c>
      <c r="H289" s="7" t="inlineStr">
        <is>
          <t>2026-10-20T12:24:25+00:00</t>
        </is>
      </c>
      <c r="I289" s="7" t="inlineStr">
        <is>
          <t>cd3ea85aaca21f3765a2e9b12d0be3118c1c19e7a788b6d5d6809ccf03c421bb</t>
        </is>
      </c>
      <c r="J289" s="7" t="inlineStr">
        <is>
          <t>protocol configs/experiments/gt-warn-range-2026-10-20.yaml (first commit aeaa93e 2026-10-20T17:51:52+05:30)</t>
        </is>
      </c>
      <c r="K289" s="7" t="inlineStr">
        <is>
          <t>local / reproducible-only (git-ignored)</t>
        </is>
      </c>
    </row>
    <row r="290">
      <c r="A290" s="7" t="inlineStr">
        <is>
          <t>wr.opened_at</t>
        </is>
      </c>
      <c r="B290" s="7" t="inlineStr">
        <is>
          <t>D-046 outer predictions read</t>
        </is>
      </c>
      <c r="C290" s="10" t="n">
        <v>46315.51695601852</v>
      </c>
      <c r="D290" s="7" t="inlineStr">
        <is>
          <t>UTC</t>
        </is>
      </c>
      <c r="E290" s="7" t="inlineStr">
        <is>
          <t>warnrange</t>
        </is>
      </c>
      <c r="F290" s="7" t="inlineStr">
        <is>
          <t>artifacts/research/gt-warn-range-2026-10-20/summary.json</t>
        </is>
      </c>
      <c r="G290" s="7" t="inlineStr">
        <is>
          <t>/opened/opened_at</t>
        </is>
      </c>
      <c r="H290" s="7" t="inlineStr">
        <is>
          <t>2026-10-20T12:24:25+00:00</t>
        </is>
      </c>
      <c r="I290" s="7" t="inlineStr">
        <is>
          <t>cd3ea85aaca21f3765a2e9b12d0be3118c1c19e7a788b6d5d6809ccf03c421bb</t>
        </is>
      </c>
      <c r="J290" s="7" t="inlineStr">
        <is>
          <t>protocol configs/experiments/gt-warn-range-2026-10-20.yaml (first commit aeaa93e 2026-10-20T17:51:52+05:30)</t>
        </is>
      </c>
      <c r="K290" s="7" t="inlineStr">
        <is>
          <t>local / reproducible-only (git-ignored)</t>
        </is>
      </c>
    </row>
    <row r="291">
      <c r="A291" s="7" t="inlineStr">
        <is>
          <t>blend.improvement_60</t>
        </is>
      </c>
      <c r="B291" s="7" t="inlineStr">
        <is>
          <t>D-048 development check: improvement_60 (improvement positive = gain)</t>
        </is>
      </c>
      <c r="C291" s="8" t="n">
        <v>0.01863917027521111</v>
      </c>
      <c r="D291" s="7" t="inlineStr">
        <is>
          <t>mg/dL</t>
        </is>
      </c>
      <c r="E291" s="7" t="inlineStr">
        <is>
          <t>blend</t>
        </is>
      </c>
      <c r="F291" s="7" t="inlineStr">
        <is>
          <t>artifacts/research/gt-blend-2026-10-21/development.json</t>
        </is>
      </c>
      <c r="G291" s="7" t="inlineStr">
        <is>
          <t>/decision/checks/improvement_60</t>
        </is>
      </c>
      <c r="H291" s="7" t="inlineStr">
        <is>
          <t>2026-10-20T15:06:54+00:00 (file time)</t>
        </is>
      </c>
      <c r="I291" s="7" t="inlineStr">
        <is>
          <t>f422cff1c14118d0134d4de1a2a42d30a3e843cf4b2a46da1e7faa68bb4593a4</t>
        </is>
      </c>
      <c r="J291" s="7" t="inlineStr">
        <is>
          <t>protocol configs/experiments/gt-blend-2026-10-21.yaml (first commit 2799ab3 2026-10-20T20:36:41+05:30)</t>
        </is>
      </c>
      <c r="K291" s="7" t="inlineStr">
        <is>
          <t>local / reproducible-only (git-ignored)</t>
        </is>
      </c>
    </row>
    <row r="292">
      <c r="A292" s="7" t="inlineStr">
        <is>
          <t>blend.worsening_30</t>
        </is>
      </c>
      <c r="B292" s="7" t="inlineStr">
        <is>
          <t>D-048 development check: worsening_30 (improvement positive = gain)</t>
        </is>
      </c>
      <c r="C292" s="8" t="n">
        <v>-0.03032685219569942</v>
      </c>
      <c r="D292" s="7" t="inlineStr">
        <is>
          <t>mg/dL</t>
        </is>
      </c>
      <c r="E292" s="7" t="inlineStr">
        <is>
          <t>blend</t>
        </is>
      </c>
      <c r="F292" s="7" t="inlineStr">
        <is>
          <t>artifacts/research/gt-blend-2026-10-21/development.json</t>
        </is>
      </c>
      <c r="G292" s="7" t="inlineStr">
        <is>
          <t>/decision/checks/worsening_30</t>
        </is>
      </c>
      <c r="H292" s="7" t="inlineStr">
        <is>
          <t>2026-10-20T15:06:54+00:00 (file time)</t>
        </is>
      </c>
      <c r="I292" s="7" t="inlineStr">
        <is>
          <t>f422cff1c14118d0134d4de1a2a42d30a3e843cf4b2a46da1e7faa68bb4593a4</t>
        </is>
      </c>
      <c r="J292" s="7" t="inlineStr">
        <is>
          <t>protocol configs/experiments/gt-blend-2026-10-21.yaml (first commit 2799ab3 2026-10-20T20:36:41+05:30)</t>
        </is>
      </c>
      <c r="K292" s="7" t="inlineStr">
        <is>
          <t>local / reproducible-only (git-ignored)</t>
        </is>
      </c>
    </row>
    <row r="293">
      <c r="A293" s="7" t="inlineStr">
        <is>
          <t>blend.high_worsening_60</t>
        </is>
      </c>
      <c r="B293" s="7" t="inlineStr">
        <is>
          <t>D-048 development check: high_worsening_60 (improvement positive = gain)</t>
        </is>
      </c>
      <c r="C293" s="8" t="n">
        <v>-0.1783143666778457</v>
      </c>
      <c r="D293" s="7" t="inlineStr">
        <is>
          <t>mg/dL</t>
        </is>
      </c>
      <c r="E293" s="7" t="inlineStr">
        <is>
          <t>blend</t>
        </is>
      </c>
      <c r="F293" s="7" t="inlineStr">
        <is>
          <t>artifacts/research/gt-blend-2026-10-21/development.json</t>
        </is>
      </c>
      <c r="G293" s="7" t="inlineStr">
        <is>
          <t>/decision/checks/high_worsening_60</t>
        </is>
      </c>
      <c r="H293" s="7" t="inlineStr">
        <is>
          <t>2026-10-20T15:06:54+00:00 (file time)</t>
        </is>
      </c>
      <c r="I293" s="7" t="inlineStr">
        <is>
          <t>f422cff1c14118d0134d4de1a2a42d30a3e843cf4b2a46da1e7faa68bb4593a4</t>
        </is>
      </c>
      <c r="J293" s="7" t="inlineStr">
        <is>
          <t>protocol configs/experiments/gt-blend-2026-10-21.yaml (first commit 2799ab3 2026-10-20T20:36:41+05:30)</t>
        </is>
      </c>
      <c r="K293" s="7" t="inlineStr">
        <is>
          <t>local / reproducible-only (git-ignored)</t>
        </is>
      </c>
    </row>
    <row r="294">
      <c r="A294" s="7" t="inlineStr">
        <is>
          <t>blend.availability_drop_points</t>
        </is>
      </c>
      <c r="B294" s="7" t="inlineStr">
        <is>
          <t>D-048 development check: availability_drop_points (improvement positive = gain)</t>
        </is>
      </c>
      <c r="C294" s="8" t="n">
        <v>0</v>
      </c>
      <c r="D294" s="7" t="inlineStr">
        <is>
          <t>points</t>
        </is>
      </c>
      <c r="E294" s="7" t="inlineStr">
        <is>
          <t>blend</t>
        </is>
      </c>
      <c r="F294" s="7" t="inlineStr">
        <is>
          <t>artifacts/research/gt-blend-2026-10-21/development.json</t>
        </is>
      </c>
      <c r="G294" s="7" t="inlineStr">
        <is>
          <t>/decision/checks/availability_drop_points</t>
        </is>
      </c>
      <c r="H294" s="7" t="inlineStr">
        <is>
          <t>2026-10-20T15:06:54+00:00 (file time)</t>
        </is>
      </c>
      <c r="I294" s="7" t="inlineStr">
        <is>
          <t>f422cff1c14118d0134d4de1a2a42d30a3e843cf4b2a46da1e7faa68bb4593a4</t>
        </is>
      </c>
      <c r="J294" s="7" t="inlineStr">
        <is>
          <t>protocol configs/experiments/gt-blend-2026-10-21.yaml (first commit 2799ab3 2026-10-20T20:36:41+05:30)</t>
        </is>
      </c>
      <c r="K294" s="7" t="inlineStr">
        <is>
          <t>local / reproducible-only (git-ignored)</t>
        </is>
      </c>
    </row>
    <row r="295">
      <c r="A295" s="7" t="inlineStr">
        <is>
          <t>blend.alpha</t>
        </is>
      </c>
      <c r="B295" s="7" t="inlineStr">
        <is>
          <t>D-048 selected blend weight</t>
        </is>
      </c>
      <c r="C295" s="8" t="n">
        <v>0.75</v>
      </c>
      <c r="D295" s="7" t="inlineStr">
        <is>
          <t>alpha</t>
        </is>
      </c>
      <c r="E295" s="7" t="inlineStr">
        <is>
          <t>blend</t>
        </is>
      </c>
      <c r="F295" s="7" t="inlineStr">
        <is>
          <t>artifacts/research/gt-blend-2026-10-21/development.json</t>
        </is>
      </c>
      <c r="G295" s="7" t="inlineStr">
        <is>
          <t>/decision/final_selected_alpha</t>
        </is>
      </c>
      <c r="H295" s="7" t="inlineStr">
        <is>
          <t>2026-10-20T15:06:54+00:00 (file time)</t>
        </is>
      </c>
      <c r="I295" s="7" t="inlineStr">
        <is>
          <t>f422cff1c14118d0134d4de1a2a42d30a3e843cf4b2a46da1e7faa68bb4593a4</t>
        </is>
      </c>
      <c r="J295" s="7" t="inlineStr">
        <is>
          <t>protocol configs/experiments/gt-blend-2026-10-21.yaml (first commit 2799ab3 2026-10-20T20:36:41+05:30)</t>
        </is>
      </c>
      <c r="K295" s="7" t="inlineStr">
        <is>
          <t>local / reproducible-only (git-ignored)</t>
        </is>
      </c>
    </row>
    <row r="296">
      <c r="A296" s="7" t="inlineStr">
        <is>
          <t>blend.target_met</t>
        </is>
      </c>
      <c r="B296" s="7" t="inlineStr">
        <is>
          <t>D-048 saved outcome: development target met</t>
        </is>
      </c>
      <c r="C296" s="7" t="inlineStr">
        <is>
          <t>FALSE</t>
        </is>
      </c>
      <c r="D296" s="7" t="inlineStr">
        <is>
          <t>flag</t>
        </is>
      </c>
      <c r="E296" s="7" t="inlineStr">
        <is>
          <t>blend</t>
        </is>
      </c>
      <c r="F296" s="7" t="inlineStr">
        <is>
          <t>artifacts/research/gt-blend-2026-10-21/development.json</t>
        </is>
      </c>
      <c r="G296" s="7" t="inlineStr">
        <is>
          <t>/decision/target_met</t>
        </is>
      </c>
      <c r="H296" s="7" t="inlineStr">
        <is>
          <t>2026-10-20T15:06:54+00:00 (file time)</t>
        </is>
      </c>
      <c r="I296" s="7" t="inlineStr">
        <is>
          <t>f422cff1c14118d0134d4de1a2a42d30a3e843cf4b2a46da1e7faa68bb4593a4</t>
        </is>
      </c>
      <c r="J296" s="7" t="inlineStr">
        <is>
          <t>protocol configs/experiments/gt-blend-2026-10-21.yaml (first commit 2799ab3 2026-10-20T20:36:41+05:30)</t>
        </is>
      </c>
      <c r="K296" s="7" t="inlineStr">
        <is>
          <t>local / reproducible-only (git-ignored)</t>
        </is>
      </c>
    </row>
    <row r="297">
      <c r="A297" s="7" t="inlineStr">
        <is>
          <t>blend.inc60</t>
        </is>
      </c>
      <c r="B297" s="7" t="inlineStr">
        <is>
          <t>D-048 alpha = 1 (incumbent) 60-min development MAE</t>
        </is>
      </c>
      <c r="C297" s="8" t="n">
        <v>22.27853595082931</v>
      </c>
      <c r="D297" s="7" t="inlineStr">
        <is>
          <t>mg/dL</t>
        </is>
      </c>
      <c r="E297" s="7" t="inlineStr">
        <is>
          <t>blend</t>
        </is>
      </c>
      <c r="F297" s="7" t="inlineStr">
        <is>
          <t>artifacts/research/gt-blend-2026-10-21/development.json</t>
        </is>
      </c>
      <c r="G297" s="7" t="inlineStr">
        <is>
          <t>/folds/final/alphas/1.0/mae_60</t>
        </is>
      </c>
      <c r="H297" s="7" t="inlineStr">
        <is>
          <t>2026-10-20T15:06:54+00:00 (file time)</t>
        </is>
      </c>
      <c r="I297" s="7" t="inlineStr">
        <is>
          <t>f422cff1c14118d0134d4de1a2a42d30a3e843cf4b2a46da1e7faa68bb4593a4</t>
        </is>
      </c>
      <c r="J297" s="7" t="inlineStr">
        <is>
          <t>protocol configs/experiments/gt-blend-2026-10-21.yaml (first commit 2799ab3 2026-10-20T20:36:41+05:30)</t>
        </is>
      </c>
      <c r="K297" s="7" t="inlineStr">
        <is>
          <t>local / reproducible-only (git-ignored)</t>
        </is>
      </c>
    </row>
    <row r="298">
      <c r="A298" s="7" t="inlineStr">
        <is>
          <t>blend.written_at</t>
        </is>
      </c>
      <c r="B298" s="7" t="inlineStr">
        <is>
          <t>D-048 protocol written (before any alpha &lt; 1 scored)</t>
        </is>
      </c>
      <c r="C298" s="10" t="n">
        <v>46315.62945601852</v>
      </c>
      <c r="D298" s="7" t="inlineStr">
        <is>
          <t>UTC</t>
        </is>
      </c>
      <c r="E298" s="7" t="inlineStr">
        <is>
          <t>blend_proto</t>
        </is>
      </c>
      <c r="F298" s="7" t="inlineStr">
        <is>
          <t>artifacts/research/gt-blend-2026-10-21/protocol_written.json</t>
        </is>
      </c>
      <c r="G298" s="7" t="inlineStr">
        <is>
          <t>/written_at</t>
        </is>
      </c>
      <c r="H298" s="7" t="inlineStr">
        <is>
          <t>2026-10-20T15:06:25+00:00</t>
        </is>
      </c>
      <c r="I298" s="7" t="inlineStr">
        <is>
          <t>acf506c74a5ab5648574e9993bf554e8ede6fbf5e4e916ebf72119e70ed68aed</t>
        </is>
      </c>
      <c r="J298" s="7" t="inlineStr">
        <is>
          <t>protocol configs/experiments/gt-blend-2026-10-21.yaml (first commit 2799ab3 2026-10-20T20:36:41+05:30)</t>
        </is>
      </c>
      <c r="K298" s="7" t="inlineStr">
        <is>
          <t>local / reproducible-only (git-ignored)</t>
        </is>
      </c>
    </row>
    <row r="299">
      <c r="A299" s="7" t="inlineStr">
        <is>
          <t>blend.dev_time</t>
        </is>
      </c>
      <c r="B299" s="7" t="inlineStr">
        <is>
          <t>D-048 development decision written</t>
        </is>
      </c>
      <c r="C299" s="10" t="n">
        <v>46315.62979166667</v>
      </c>
      <c r="D299" s="7" t="inlineStr">
        <is>
          <t>UTC</t>
        </is>
      </c>
      <c r="E299" s="7" t="inlineStr">
        <is>
          <t>blend</t>
        </is>
      </c>
      <c r="F299" s="7" t="inlineStr">
        <is>
          <t>artifacts/research/gt-blend-2026-10-21/development.json</t>
        </is>
      </c>
      <c r="G299" s="7" t="inlineStr">
        <is>
          <t>file modification time of development.json (local; the file has no timestamp field)</t>
        </is>
      </c>
      <c r="H299" s="7" t="inlineStr">
        <is>
          <t>2026-10-20T15:06:54+00:00 (file time)</t>
        </is>
      </c>
      <c r="I299" s="7" t="inlineStr">
        <is>
          <t>f422cff1c14118d0134d4de1a2a42d30a3e843cf4b2a46da1e7faa68bb4593a4</t>
        </is>
      </c>
      <c r="J299" s="7" t="inlineStr">
        <is>
          <t>protocol configs/experiments/gt-blend-2026-10-21.yaml (first commit 2799ab3 2026-10-20T20:36:41+05:30)</t>
        </is>
      </c>
      <c r="K299" s="7" t="inlineStr">
        <is>
          <t>local / reproducible-only (git-ignored)</t>
        </is>
      </c>
    </row>
    <row r="300">
      <c r="A300" s="7" t="inlineStr">
        <is>
          <t>rt.A1.gain_60</t>
        </is>
      </c>
      <c r="B300" s="7" t="inlineStr">
        <is>
          <t>D-049 A1_participant_balanced vs B0: gain_60 (gain positive = lower error)</t>
        </is>
      </c>
      <c r="C300" s="8" t="n">
        <v>-0.03948282237159262</v>
      </c>
      <c r="D300" s="7" t="inlineStr">
        <is>
          <t>mg/dL</t>
        </is>
      </c>
      <c r="E300" s="7" t="inlineStr">
        <is>
          <t>retrain</t>
        </is>
      </c>
      <c r="F300" s="7" t="inlineStr">
        <is>
          <t>artifacts/research/gt-retrain-2026-10-21/development.json</t>
        </is>
      </c>
      <c r="G300" s="7" t="inlineStr">
        <is>
          <t>/selection/by_arm/A1_participant_balanced/checks/gain_60</t>
        </is>
      </c>
      <c r="H300" s="7" t="inlineStr">
        <is>
          <t>2026-10-20T17:02:49+00:00</t>
        </is>
      </c>
      <c r="I300" s="7" t="inlineStr">
        <is>
          <t>5531fea058f80e4638d34b485038e9a5db1b0998f3754bb24a7e39a0d63dc859</t>
        </is>
      </c>
      <c r="J300" s="7" t="inlineStr">
        <is>
          <t>protocol configs/experiments/gt-retrain-2026-10-21.yaml (first commit 83b36ec 2026-10-20T22:30:08+05:30)</t>
        </is>
      </c>
      <c r="K300" s="7" t="inlineStr">
        <is>
          <t>local / reproducible-only (git-ignored)</t>
        </is>
      </c>
    </row>
    <row r="301">
      <c r="A301" s="7" t="inlineStr">
        <is>
          <t>rt.A1.worsening_30</t>
        </is>
      </c>
      <c r="B301" s="7" t="inlineStr">
        <is>
          <t>D-049 A1_participant_balanced vs B0: worsening_30 (gain positive = lower error)</t>
        </is>
      </c>
      <c r="C301" s="8" t="n">
        <v>0.007132728902320196</v>
      </c>
      <c r="D301" s="7" t="inlineStr">
        <is>
          <t>mg/dL</t>
        </is>
      </c>
      <c r="E301" s="7" t="inlineStr">
        <is>
          <t>retrain</t>
        </is>
      </c>
      <c r="F301" s="7" t="inlineStr">
        <is>
          <t>artifacts/research/gt-retrain-2026-10-21/development.json</t>
        </is>
      </c>
      <c r="G301" s="7" t="inlineStr">
        <is>
          <t>/selection/by_arm/A1_participant_balanced/checks/worsening_30</t>
        </is>
      </c>
      <c r="H301" s="7" t="inlineStr">
        <is>
          <t>2026-10-20T17:02:49+00:00</t>
        </is>
      </c>
      <c r="I301" s="7" t="inlineStr">
        <is>
          <t>5531fea058f80e4638d34b485038e9a5db1b0998f3754bb24a7e39a0d63dc859</t>
        </is>
      </c>
      <c r="J301" s="7" t="inlineStr">
        <is>
          <t>protocol configs/experiments/gt-retrain-2026-10-21.yaml (first commit 83b36ec 2026-10-20T22:30:08+05:30)</t>
        </is>
      </c>
      <c r="K301" s="7" t="inlineStr">
        <is>
          <t>local / reproducible-only (git-ignored)</t>
        </is>
      </c>
    </row>
    <row r="302">
      <c r="A302" s="7" t="inlineStr">
        <is>
          <t>rt.A1.high_worsening_60</t>
        </is>
      </c>
      <c r="B302" s="7" t="inlineStr">
        <is>
          <t>D-049 A1_participant_balanced vs B0: high_worsening_60 (gain positive = lower error)</t>
        </is>
      </c>
      <c r="C302" s="8" t="n">
        <v>0.003279919863544478</v>
      </c>
      <c r="D302" s="7" t="inlineStr">
        <is>
          <t>mg/dL</t>
        </is>
      </c>
      <c r="E302" s="7" t="inlineStr">
        <is>
          <t>retrain</t>
        </is>
      </c>
      <c r="F302" s="7" t="inlineStr">
        <is>
          <t>artifacts/research/gt-retrain-2026-10-21/development.json</t>
        </is>
      </c>
      <c r="G302" s="7" t="inlineStr">
        <is>
          <t>/selection/by_arm/A1_participant_balanced/checks/high_worsening_60</t>
        </is>
      </c>
      <c r="H302" s="7" t="inlineStr">
        <is>
          <t>2026-10-20T17:02:49+00:00</t>
        </is>
      </c>
      <c r="I302" s="7" t="inlineStr">
        <is>
          <t>5531fea058f80e4638d34b485038e9a5db1b0998f3754bb24a7e39a0d63dc859</t>
        </is>
      </c>
      <c r="J302" s="7" t="inlineStr">
        <is>
          <t>protocol configs/experiments/gt-retrain-2026-10-21.yaml (first commit 83b36ec 2026-10-20T22:30:08+05:30)</t>
        </is>
      </c>
      <c r="K302" s="7" t="inlineStr">
        <is>
          <t>local / reproducible-only (git-ignored)</t>
        </is>
      </c>
    </row>
    <row r="303">
      <c r="A303" s="7" t="inlineStr">
        <is>
          <t>rt.A1.availability_drop_points</t>
        </is>
      </c>
      <c r="B303" s="7" t="inlineStr">
        <is>
          <t>D-049 A1_participant_balanced vs B0: availability_drop_points (gain positive = lower error)</t>
        </is>
      </c>
      <c r="C303" s="8" t="n">
        <v>0</v>
      </c>
      <c r="D303" s="7" t="inlineStr">
        <is>
          <t>points</t>
        </is>
      </c>
      <c r="E303" s="7" t="inlineStr">
        <is>
          <t>retrain</t>
        </is>
      </c>
      <c r="F303" s="7" t="inlineStr">
        <is>
          <t>artifacts/research/gt-retrain-2026-10-21/development.json</t>
        </is>
      </c>
      <c r="G303" s="7" t="inlineStr">
        <is>
          <t>/selection/by_arm/A1_participant_balanced/checks/availability_drop_points</t>
        </is>
      </c>
      <c r="H303" s="7" t="inlineStr">
        <is>
          <t>2026-10-20T17:02:49+00:00</t>
        </is>
      </c>
      <c r="I303" s="7" t="inlineStr">
        <is>
          <t>5531fea058f80e4638d34b485038e9a5db1b0998f3754bb24a7e39a0d63dc859</t>
        </is>
      </c>
      <c r="J303" s="7" t="inlineStr">
        <is>
          <t>protocol configs/experiments/gt-retrain-2026-10-21.yaml (first commit 83b36ec 2026-10-20T22:30:08+05:30)</t>
        </is>
      </c>
      <c r="K303" s="7" t="inlineStr">
        <is>
          <t>local / reproducible-only (git-ignored)</t>
        </is>
      </c>
    </row>
    <row r="304">
      <c r="A304" s="7" t="inlineStr">
        <is>
          <t>rt.A1.qualifies</t>
        </is>
      </c>
      <c r="B304" s="7" t="inlineStr">
        <is>
          <t>D-049 A1_participant_balanced: saved qualifies flag</t>
        </is>
      </c>
      <c r="C304" s="7" t="inlineStr">
        <is>
          <t>FALSE</t>
        </is>
      </c>
      <c r="D304" s="7" t="inlineStr">
        <is>
          <t>flag</t>
        </is>
      </c>
      <c r="E304" s="7" t="inlineStr">
        <is>
          <t>retrain</t>
        </is>
      </c>
      <c r="F304" s="7" t="inlineStr">
        <is>
          <t>artifacts/research/gt-retrain-2026-10-21/development.json</t>
        </is>
      </c>
      <c r="G304" s="7" t="inlineStr">
        <is>
          <t>/selection/by_arm/A1_participant_balanced/qualifies</t>
        </is>
      </c>
      <c r="H304" s="7" t="inlineStr">
        <is>
          <t>2026-10-20T17:02:49+00:00</t>
        </is>
      </c>
      <c r="I304" s="7" t="inlineStr">
        <is>
          <t>5531fea058f80e4638d34b485038e9a5db1b0998f3754bb24a7e39a0d63dc859</t>
        </is>
      </c>
      <c r="J304" s="7" t="inlineStr">
        <is>
          <t>protocol configs/experiments/gt-retrain-2026-10-21.yaml (first commit 83b36ec 2026-10-20T22:30:08+05:30)</t>
        </is>
      </c>
      <c r="K304" s="7" t="inlineStr">
        <is>
          <t>local / reproducible-only (git-ignored)</t>
        </is>
      </c>
    </row>
    <row r="305">
      <c r="A305" s="7" t="inlineStr">
        <is>
          <t>rt.A2.gain_60</t>
        </is>
      </c>
      <c r="B305" s="7" t="inlineStr">
        <is>
          <t>D-049 A2_balanced_rising_2x vs B0: gain_60 (gain positive = lower error)</t>
        </is>
      </c>
      <c r="C305" s="8" t="n">
        <v>0.07000837481145439</v>
      </c>
      <c r="D305" s="7" t="inlineStr">
        <is>
          <t>mg/dL</t>
        </is>
      </c>
      <c r="E305" s="7" t="inlineStr">
        <is>
          <t>retrain</t>
        </is>
      </c>
      <c r="F305" s="7" t="inlineStr">
        <is>
          <t>artifacts/research/gt-retrain-2026-10-21/development.json</t>
        </is>
      </c>
      <c r="G305" s="7" t="inlineStr">
        <is>
          <t>/selection/by_arm/A2_balanced_rising_2x/checks/gain_60</t>
        </is>
      </c>
      <c r="H305" s="7" t="inlineStr">
        <is>
          <t>2026-10-20T17:02:49+00:00</t>
        </is>
      </c>
      <c r="I305" s="7" t="inlineStr">
        <is>
          <t>5531fea058f80e4638d34b485038e9a5db1b0998f3754bb24a7e39a0d63dc859</t>
        </is>
      </c>
      <c r="J305" s="7" t="inlineStr">
        <is>
          <t>protocol configs/experiments/gt-retrain-2026-10-21.yaml (first commit 83b36ec 2026-10-20T22:30:08+05:30)</t>
        </is>
      </c>
      <c r="K305" s="7" t="inlineStr">
        <is>
          <t>local / reproducible-only (git-ignored)</t>
        </is>
      </c>
    </row>
    <row r="306">
      <c r="A306" s="7" t="inlineStr">
        <is>
          <t>rt.A2.worsening_30</t>
        </is>
      </c>
      <c r="B306" s="7" t="inlineStr">
        <is>
          <t>D-049 A2_balanced_rising_2x vs B0: worsening_30 (gain positive = lower error)</t>
        </is>
      </c>
      <c r="C306" s="8" t="n">
        <v>0.04778749580600206</v>
      </c>
      <c r="D306" s="7" t="inlineStr">
        <is>
          <t>mg/dL</t>
        </is>
      </c>
      <c r="E306" s="7" t="inlineStr">
        <is>
          <t>retrain</t>
        </is>
      </c>
      <c r="F306" s="7" t="inlineStr">
        <is>
          <t>artifacts/research/gt-retrain-2026-10-21/development.json</t>
        </is>
      </c>
      <c r="G306" s="7" t="inlineStr">
        <is>
          <t>/selection/by_arm/A2_balanced_rising_2x/checks/worsening_30</t>
        </is>
      </c>
      <c r="H306" s="7" t="inlineStr">
        <is>
          <t>2026-10-20T17:02:49+00:00</t>
        </is>
      </c>
      <c r="I306" s="7" t="inlineStr">
        <is>
          <t>5531fea058f80e4638d34b485038e9a5db1b0998f3754bb24a7e39a0d63dc859</t>
        </is>
      </c>
      <c r="J306" s="7" t="inlineStr">
        <is>
          <t>protocol configs/experiments/gt-retrain-2026-10-21.yaml (first commit 83b36ec 2026-10-20T22:30:08+05:30)</t>
        </is>
      </c>
      <c r="K306" s="7" t="inlineStr">
        <is>
          <t>local / reproducible-only (git-ignored)</t>
        </is>
      </c>
    </row>
    <row r="307">
      <c r="A307" s="7" t="inlineStr">
        <is>
          <t>rt.A2.high_worsening_60</t>
        </is>
      </c>
      <c r="B307" s="7" t="inlineStr">
        <is>
          <t>D-049 A2_balanced_rising_2x vs B0: high_worsening_60 (gain positive = lower error)</t>
        </is>
      </c>
      <c r="C307" s="8" t="n">
        <v>0.1653721731026891</v>
      </c>
      <c r="D307" s="7" t="inlineStr">
        <is>
          <t>mg/dL</t>
        </is>
      </c>
      <c r="E307" s="7" t="inlineStr">
        <is>
          <t>retrain</t>
        </is>
      </c>
      <c r="F307" s="7" t="inlineStr">
        <is>
          <t>artifacts/research/gt-retrain-2026-10-21/development.json</t>
        </is>
      </c>
      <c r="G307" s="7" t="inlineStr">
        <is>
          <t>/selection/by_arm/A2_balanced_rising_2x/checks/high_worsening_60</t>
        </is>
      </c>
      <c r="H307" s="7" t="inlineStr">
        <is>
          <t>2026-10-20T17:02:49+00:00</t>
        </is>
      </c>
      <c r="I307" s="7" t="inlineStr">
        <is>
          <t>5531fea058f80e4638d34b485038e9a5db1b0998f3754bb24a7e39a0d63dc859</t>
        </is>
      </c>
      <c r="J307" s="7" t="inlineStr">
        <is>
          <t>protocol configs/experiments/gt-retrain-2026-10-21.yaml (first commit 83b36ec 2026-10-20T22:30:08+05:30)</t>
        </is>
      </c>
      <c r="K307" s="7" t="inlineStr">
        <is>
          <t>local / reproducible-only (git-ignored)</t>
        </is>
      </c>
    </row>
    <row r="308">
      <c r="A308" s="7" t="inlineStr">
        <is>
          <t>rt.A2.availability_drop_points</t>
        </is>
      </c>
      <c r="B308" s="7" t="inlineStr">
        <is>
          <t>D-049 A2_balanced_rising_2x vs B0: availability_drop_points (gain positive = lower error)</t>
        </is>
      </c>
      <c r="C308" s="8" t="n">
        <v>0</v>
      </c>
      <c r="D308" s="7" t="inlineStr">
        <is>
          <t>points</t>
        </is>
      </c>
      <c r="E308" s="7" t="inlineStr">
        <is>
          <t>retrain</t>
        </is>
      </c>
      <c r="F308" s="7" t="inlineStr">
        <is>
          <t>artifacts/research/gt-retrain-2026-10-21/development.json</t>
        </is>
      </c>
      <c r="G308" s="7" t="inlineStr">
        <is>
          <t>/selection/by_arm/A2_balanced_rising_2x/checks/availability_drop_points</t>
        </is>
      </c>
      <c r="H308" s="7" t="inlineStr">
        <is>
          <t>2026-10-20T17:02:49+00:00</t>
        </is>
      </c>
      <c r="I308" s="7" t="inlineStr">
        <is>
          <t>5531fea058f80e4638d34b485038e9a5db1b0998f3754bb24a7e39a0d63dc859</t>
        </is>
      </c>
      <c r="J308" s="7" t="inlineStr">
        <is>
          <t>protocol configs/experiments/gt-retrain-2026-10-21.yaml (first commit 83b36ec 2026-10-20T22:30:08+05:30)</t>
        </is>
      </c>
      <c r="K308" s="7" t="inlineStr">
        <is>
          <t>local / reproducible-only (git-ignored)</t>
        </is>
      </c>
    </row>
    <row r="309">
      <c r="A309" s="7" t="inlineStr">
        <is>
          <t>rt.A2.qualifies</t>
        </is>
      </c>
      <c r="B309" s="7" t="inlineStr">
        <is>
          <t>D-049 A2_balanced_rising_2x: saved qualifies flag</t>
        </is>
      </c>
      <c r="C309" s="7" t="inlineStr">
        <is>
          <t>FALSE</t>
        </is>
      </c>
      <c r="D309" s="7" t="inlineStr">
        <is>
          <t>flag</t>
        </is>
      </c>
      <c r="E309" s="7" t="inlineStr">
        <is>
          <t>retrain</t>
        </is>
      </c>
      <c r="F309" s="7" t="inlineStr">
        <is>
          <t>artifacts/research/gt-retrain-2026-10-21/development.json</t>
        </is>
      </c>
      <c r="G309" s="7" t="inlineStr">
        <is>
          <t>/selection/by_arm/A2_balanced_rising_2x/qualifies</t>
        </is>
      </c>
      <c r="H309" s="7" t="inlineStr">
        <is>
          <t>2026-10-20T17:02:49+00:00</t>
        </is>
      </c>
      <c r="I309" s="7" t="inlineStr">
        <is>
          <t>5531fea058f80e4638d34b485038e9a5db1b0998f3754bb24a7e39a0d63dc859</t>
        </is>
      </c>
      <c r="J309" s="7" t="inlineStr">
        <is>
          <t>protocol configs/experiments/gt-retrain-2026-10-21.yaml (first commit 83b36ec 2026-10-20T22:30:08+05:30)</t>
        </is>
      </c>
      <c r="K309" s="7" t="inlineStr">
        <is>
          <t>local / reproducible-only (git-ignored)</t>
        </is>
      </c>
    </row>
    <row r="310">
      <c r="A310" s="7" t="inlineStr">
        <is>
          <t>rt.B1.gain_60</t>
        </is>
      </c>
      <c r="B310" s="7" t="inlineStr">
        <is>
          <t>D-049 B1_balanced_long_history vs B0: gain_60 (gain positive = lower error)</t>
        </is>
      </c>
      <c r="C310" s="8" t="n">
        <v>0.4112213018116258</v>
      </c>
      <c r="D310" s="7" t="inlineStr">
        <is>
          <t>mg/dL</t>
        </is>
      </c>
      <c r="E310" s="7" t="inlineStr">
        <is>
          <t>retrain</t>
        </is>
      </c>
      <c r="F310" s="7" t="inlineStr">
        <is>
          <t>artifacts/research/gt-retrain-2026-10-21/development.json</t>
        </is>
      </c>
      <c r="G310" s="7" t="inlineStr">
        <is>
          <t>/selection/by_arm/B1_balanced_long_history/checks/gain_60</t>
        </is>
      </c>
      <c r="H310" s="7" t="inlineStr">
        <is>
          <t>2026-10-20T17:02:49+00:00</t>
        </is>
      </c>
      <c r="I310" s="7" t="inlineStr">
        <is>
          <t>5531fea058f80e4638d34b485038e9a5db1b0998f3754bb24a7e39a0d63dc859</t>
        </is>
      </c>
      <c r="J310" s="7" t="inlineStr">
        <is>
          <t>protocol configs/experiments/gt-retrain-2026-10-21.yaml (first commit 83b36ec 2026-10-20T22:30:08+05:30)</t>
        </is>
      </c>
      <c r="K310" s="7" t="inlineStr">
        <is>
          <t>local / reproducible-only (git-ignored)</t>
        </is>
      </c>
    </row>
    <row r="311">
      <c r="A311" s="7" t="inlineStr">
        <is>
          <t>rt.B1.worsening_30</t>
        </is>
      </c>
      <c r="B311" s="7" t="inlineStr">
        <is>
          <t>D-049 B1_balanced_long_history vs B0: worsening_30 (gain positive = lower error)</t>
        </is>
      </c>
      <c r="C311" s="8" t="n">
        <v>-0.08589707273047864</v>
      </c>
      <c r="D311" s="7" t="inlineStr">
        <is>
          <t>mg/dL</t>
        </is>
      </c>
      <c r="E311" s="7" t="inlineStr">
        <is>
          <t>retrain</t>
        </is>
      </c>
      <c r="F311" s="7" t="inlineStr">
        <is>
          <t>artifacts/research/gt-retrain-2026-10-21/development.json</t>
        </is>
      </c>
      <c r="G311" s="7" t="inlineStr">
        <is>
          <t>/selection/by_arm/B1_balanced_long_history/checks/worsening_30</t>
        </is>
      </c>
      <c r="H311" s="7" t="inlineStr">
        <is>
          <t>2026-10-20T17:02:49+00:00</t>
        </is>
      </c>
      <c r="I311" s="7" t="inlineStr">
        <is>
          <t>5531fea058f80e4638d34b485038e9a5db1b0998f3754bb24a7e39a0d63dc859</t>
        </is>
      </c>
      <c r="J311" s="7" t="inlineStr">
        <is>
          <t>protocol configs/experiments/gt-retrain-2026-10-21.yaml (first commit 83b36ec 2026-10-20T22:30:08+05:30)</t>
        </is>
      </c>
      <c r="K311" s="7" t="inlineStr">
        <is>
          <t>local / reproducible-only (git-ignored)</t>
        </is>
      </c>
    </row>
    <row r="312">
      <c r="A312" s="7" t="inlineStr">
        <is>
          <t>rt.B1.high_worsening_60</t>
        </is>
      </c>
      <c r="B312" s="7" t="inlineStr">
        <is>
          <t>D-049 B1_balanced_long_history vs B0: high_worsening_60 (gain positive = lower error)</t>
        </is>
      </c>
      <c r="C312" s="8" t="n">
        <v>-0.1803830597233258</v>
      </c>
      <c r="D312" s="7" t="inlineStr">
        <is>
          <t>mg/dL</t>
        </is>
      </c>
      <c r="E312" s="7" t="inlineStr">
        <is>
          <t>retrain</t>
        </is>
      </c>
      <c r="F312" s="7" t="inlineStr">
        <is>
          <t>artifacts/research/gt-retrain-2026-10-21/development.json</t>
        </is>
      </c>
      <c r="G312" s="7" t="inlineStr">
        <is>
          <t>/selection/by_arm/B1_balanced_long_history/checks/high_worsening_60</t>
        </is>
      </c>
      <c r="H312" s="7" t="inlineStr">
        <is>
          <t>2026-10-20T17:02:49+00:00</t>
        </is>
      </c>
      <c r="I312" s="7" t="inlineStr">
        <is>
          <t>5531fea058f80e4638d34b485038e9a5db1b0998f3754bb24a7e39a0d63dc859</t>
        </is>
      </c>
      <c r="J312" s="7" t="inlineStr">
        <is>
          <t>protocol configs/experiments/gt-retrain-2026-10-21.yaml (first commit 83b36ec 2026-10-20T22:30:08+05:30)</t>
        </is>
      </c>
      <c r="K312" s="7" t="inlineStr">
        <is>
          <t>local / reproducible-only (git-ignored)</t>
        </is>
      </c>
    </row>
    <row r="313">
      <c r="A313" s="7" t="inlineStr">
        <is>
          <t>rt.B1.availability_drop_points</t>
        </is>
      </c>
      <c r="B313" s="7" t="inlineStr">
        <is>
          <t>D-049 B1_balanced_long_history vs B0: availability_drop_points (gain positive = lower error)</t>
        </is>
      </c>
      <c r="C313" s="8" t="n">
        <v>0</v>
      </c>
      <c r="D313" s="7" t="inlineStr">
        <is>
          <t>points</t>
        </is>
      </c>
      <c r="E313" s="7" t="inlineStr">
        <is>
          <t>retrain</t>
        </is>
      </c>
      <c r="F313" s="7" t="inlineStr">
        <is>
          <t>artifacts/research/gt-retrain-2026-10-21/development.json</t>
        </is>
      </c>
      <c r="G313" s="7" t="inlineStr">
        <is>
          <t>/selection/by_arm/B1_balanced_long_history/checks/availability_drop_points</t>
        </is>
      </c>
      <c r="H313" s="7" t="inlineStr">
        <is>
          <t>2026-10-20T17:02:49+00:00</t>
        </is>
      </c>
      <c r="I313" s="7" t="inlineStr">
        <is>
          <t>5531fea058f80e4638d34b485038e9a5db1b0998f3754bb24a7e39a0d63dc859</t>
        </is>
      </c>
      <c r="J313" s="7" t="inlineStr">
        <is>
          <t>protocol configs/experiments/gt-retrain-2026-10-21.yaml (first commit 83b36ec 2026-10-20T22:30:08+05:30)</t>
        </is>
      </c>
      <c r="K313" s="7" t="inlineStr">
        <is>
          <t>local / reproducible-only (git-ignored)</t>
        </is>
      </c>
    </row>
    <row r="314">
      <c r="A314" s="7" t="inlineStr">
        <is>
          <t>rt.B1.qualifies</t>
        </is>
      </c>
      <c r="B314" s="7" t="inlineStr">
        <is>
          <t>D-049 B1_balanced_long_history: saved qualifies flag</t>
        </is>
      </c>
      <c r="C314" s="7" t="inlineStr">
        <is>
          <t>FALSE</t>
        </is>
      </c>
      <c r="D314" s="7" t="inlineStr">
        <is>
          <t>flag</t>
        </is>
      </c>
      <c r="E314" s="7" t="inlineStr">
        <is>
          <t>retrain</t>
        </is>
      </c>
      <c r="F314" s="7" t="inlineStr">
        <is>
          <t>artifacts/research/gt-retrain-2026-10-21/development.json</t>
        </is>
      </c>
      <c r="G314" s="7" t="inlineStr">
        <is>
          <t>/selection/by_arm/B1_balanced_long_history/qualifies</t>
        </is>
      </c>
      <c r="H314" s="7" t="inlineStr">
        <is>
          <t>2026-10-20T17:02:49+00:00</t>
        </is>
      </c>
      <c r="I314" s="7" t="inlineStr">
        <is>
          <t>5531fea058f80e4638d34b485038e9a5db1b0998f3754bb24a7e39a0d63dc859</t>
        </is>
      </c>
      <c r="J314" s="7" t="inlineStr">
        <is>
          <t>protocol configs/experiments/gt-retrain-2026-10-21.yaml (first commit 83b36ec 2026-10-20T22:30:08+05:30)</t>
        </is>
      </c>
      <c r="K314" s="7" t="inlineStr">
        <is>
          <t>local / reproducible-only (git-ignored)</t>
        </is>
      </c>
    </row>
    <row r="315">
      <c r="A315" s="7" t="inlineStr">
        <is>
          <t>rt.B1pop.d</t>
        </is>
      </c>
      <c r="B315" s="7" t="inlineStr">
        <is>
          <t>D-049 B1 population-only 60-min change (descriptive, after selection)</t>
        </is>
      </c>
      <c r="C315" s="8" t="n">
        <v>-1.38715566906982</v>
      </c>
      <c r="D315" s="7" t="inlineStr">
        <is>
          <t>mg/dL</t>
        </is>
      </c>
      <c r="E315" s="7" t="inlineStr">
        <is>
          <t>retrain</t>
        </is>
      </c>
      <c r="F315" s="7" t="inlineStr">
        <is>
          <t>artifacts/research/gt-retrain-2026-10-21/development.json</t>
        </is>
      </c>
      <c r="G315" s="7" t="inlineStr">
        <is>
          <t>/development_paired_descriptive/B1_pop_60/mean_diff</t>
        </is>
      </c>
      <c r="H315" s="7" t="inlineStr">
        <is>
          <t>2026-10-20T17:02:49+00:00</t>
        </is>
      </c>
      <c r="I315" s="7" t="inlineStr">
        <is>
          <t>5531fea058f80e4638d34b485038e9a5db1b0998f3754bb24a7e39a0d63dc859</t>
        </is>
      </c>
      <c r="J315" s="7" t="inlineStr">
        <is>
          <t>protocol configs/experiments/gt-retrain-2026-10-21.yaml (first commit 83b36ec 2026-10-20T22:30:08+05:30)</t>
        </is>
      </c>
      <c r="K315" s="7" t="inlineStr">
        <is>
          <t>local / reproducible-only (git-ignored)</t>
        </is>
      </c>
    </row>
    <row r="316">
      <c r="A316" s="7" t="inlineStr">
        <is>
          <t>rt.B1pop.lo</t>
        </is>
      </c>
      <c r="B316" s="7" t="inlineStr">
        <is>
          <t>95 % CI lower</t>
        </is>
      </c>
      <c r="C316" s="8" t="n">
        <v>-2.621942503963044</v>
      </c>
      <c r="D316" s="7" t="inlineStr">
        <is>
          <t>mg/dL</t>
        </is>
      </c>
      <c r="E316" s="7" t="inlineStr">
        <is>
          <t>retrain</t>
        </is>
      </c>
      <c r="F316" s="7" t="inlineStr">
        <is>
          <t>artifacts/research/gt-retrain-2026-10-21/development.json</t>
        </is>
      </c>
      <c r="G316" s="7" t="inlineStr">
        <is>
          <t>/development_paired_descriptive/B1_pop_60/ci95[0]</t>
        </is>
      </c>
      <c r="H316" s="7" t="inlineStr">
        <is>
          <t>2026-10-20T17:02:49+00:00</t>
        </is>
      </c>
      <c r="I316" s="7" t="inlineStr">
        <is>
          <t>5531fea058f80e4638d34b485038e9a5db1b0998f3754bb24a7e39a0d63dc859</t>
        </is>
      </c>
      <c r="J316" s="7" t="inlineStr">
        <is>
          <t>protocol configs/experiments/gt-retrain-2026-10-21.yaml (first commit 83b36ec 2026-10-20T22:30:08+05:30)</t>
        </is>
      </c>
      <c r="K316" s="7" t="inlineStr">
        <is>
          <t>local / reproducible-only (git-ignored)</t>
        </is>
      </c>
    </row>
    <row r="317">
      <c r="A317" s="7" t="inlineStr">
        <is>
          <t>rt.B1pop.hi</t>
        </is>
      </c>
      <c r="B317" s="7" t="inlineStr">
        <is>
          <t>95 % CI upper</t>
        </is>
      </c>
      <c r="C317" s="8" t="n">
        <v>-0.2917406142301107</v>
      </c>
      <c r="D317" s="7" t="inlineStr">
        <is>
          <t>mg/dL</t>
        </is>
      </c>
      <c r="E317" s="7" t="inlineStr">
        <is>
          <t>retrain</t>
        </is>
      </c>
      <c r="F317" s="7" t="inlineStr">
        <is>
          <t>artifacts/research/gt-retrain-2026-10-21/development.json</t>
        </is>
      </c>
      <c r="G317" s="7" t="inlineStr">
        <is>
          <t>/development_paired_descriptive/B1_pop_60/ci95[1]</t>
        </is>
      </c>
      <c r="H317" s="7" t="inlineStr">
        <is>
          <t>2026-10-20T17:02:49+00:00</t>
        </is>
      </c>
      <c r="I317" s="7" t="inlineStr">
        <is>
          <t>5531fea058f80e4638d34b485038e9a5db1b0998f3754bb24a7e39a0d63dc859</t>
        </is>
      </c>
      <c r="J317" s="7" t="inlineStr">
        <is>
          <t>protocol configs/experiments/gt-retrain-2026-10-21.yaml (first commit 83b36ec 2026-10-20T22:30:08+05:30)</t>
        </is>
      </c>
      <c r="K317" s="7" t="inlineStr">
        <is>
          <t>local / reproducible-only (git-ignored)</t>
        </is>
      </c>
    </row>
    <row r="318">
      <c r="A318" s="7" t="inlineStr">
        <is>
          <t>rt.started_at</t>
        </is>
      </c>
      <c r="B318" s="7" t="inlineStr">
        <is>
          <t>D-049 run start</t>
        </is>
      </c>
      <c r="C318" s="10" t="n">
        <v>46315.71028935185</v>
      </c>
      <c r="D318" s="7" t="inlineStr">
        <is>
          <t>UTC</t>
        </is>
      </c>
      <c r="E318" s="7" t="inlineStr">
        <is>
          <t>retrain</t>
        </is>
      </c>
      <c r="F318" s="7" t="inlineStr">
        <is>
          <t>artifacts/research/gt-retrain-2026-10-21/development.json</t>
        </is>
      </c>
      <c r="G318" s="7" t="inlineStr">
        <is>
          <t>/started_at</t>
        </is>
      </c>
      <c r="H318" s="7" t="inlineStr">
        <is>
          <t>2026-10-20T17:02:49+00:00</t>
        </is>
      </c>
      <c r="I318" s="7" t="inlineStr">
        <is>
          <t>5531fea058f80e4638d34b485038e9a5db1b0998f3754bb24a7e39a0d63dc859</t>
        </is>
      </c>
      <c r="J318" s="7" t="inlineStr">
        <is>
          <t>protocol configs/experiments/gt-retrain-2026-10-21.yaml (first commit 83b36ec 2026-10-20T22:30:08+05:30)</t>
        </is>
      </c>
      <c r="K318" s="7" t="inlineStr">
        <is>
          <t>local / reproducible-only (git-ignored)</t>
        </is>
      </c>
    </row>
    <row r="319">
      <c r="A319" s="7" t="inlineStr">
        <is>
          <t>rg.err.G</t>
        </is>
      </c>
      <c r="B319" s="7" t="inlineStr">
        <is>
          <t>D-050 pre-test mean |coverage − 0.80|, shape G</t>
        </is>
      </c>
      <c r="C319" s="8" t="n">
        <v>0.06484333510355811</v>
      </c>
      <c r="D319" s="7" t="inlineStr">
        <is>
          <t>share</t>
        </is>
      </c>
      <c r="E319" s="7" t="inlineStr">
        <is>
          <t>ranges</t>
        </is>
      </c>
      <c r="F319" s="7" t="inlineStr">
        <is>
          <t>artifacts/research/gt-ranges-2026-10-21/summary.json</t>
        </is>
      </c>
      <c r="G319" s="7" t="inlineStr">
        <is>
          <t>/pre_test_check/coverage_error/G</t>
        </is>
      </c>
      <c r="H319" s="7" t="inlineStr">
        <is>
          <t>2026-10-20T17:40:17+00:00</t>
        </is>
      </c>
      <c r="I319" s="7" t="inlineStr">
        <is>
          <t>181b8c28e242361beeda778b2f9baa4b7a1091cf66e2e14b7a178682de8df7fd</t>
        </is>
      </c>
      <c r="J319" s="7" t="inlineStr">
        <is>
          <t>protocol configs/experiments/gt-ranges-2026-10-21.yaml (first commit 0de0889 2026-10-20T23:09:42+05:30)</t>
        </is>
      </c>
      <c r="K319" s="7" t="inlineStr">
        <is>
          <t>local / reproducible-only (git-ignored)</t>
        </is>
      </c>
    </row>
    <row r="320">
      <c r="A320" s="7" t="inlineStr">
        <is>
          <t>rg.width.G</t>
        </is>
      </c>
      <c r="B320" s="7" t="inlineStr">
        <is>
          <t>D-050 pre-test mean width, shape G</t>
        </is>
      </c>
      <c r="C320" s="8" t="n">
        <v>54.97279966983103</v>
      </c>
      <c r="D320" s="7" t="inlineStr">
        <is>
          <t>mg/dL</t>
        </is>
      </c>
      <c r="E320" s="7" t="inlineStr">
        <is>
          <t>ranges</t>
        </is>
      </c>
      <c r="F320" s="7" t="inlineStr">
        <is>
          <t>artifacts/research/gt-ranges-2026-10-21/summary.json</t>
        </is>
      </c>
      <c r="G320" s="7" t="inlineStr">
        <is>
          <t>/pre_test_check/width_mean/G</t>
        </is>
      </c>
      <c r="H320" s="7" t="inlineStr">
        <is>
          <t>2026-10-20T17:40:17+00:00</t>
        </is>
      </c>
      <c r="I320" s="7" t="inlineStr">
        <is>
          <t>181b8c28e242361beeda778b2f9baa4b7a1091cf66e2e14b7a178682de8df7fd</t>
        </is>
      </c>
      <c r="J320" s="7" t="inlineStr">
        <is>
          <t>protocol configs/experiments/gt-ranges-2026-10-21.yaml (first commit 0de0889 2026-10-20T23:09:42+05:30)</t>
        </is>
      </c>
      <c r="K320" s="7" t="inlineStr">
        <is>
          <t>local / reproducible-only (git-ignored)</t>
        </is>
      </c>
    </row>
    <row r="321">
      <c r="A321" s="7" t="inlineStr">
        <is>
          <t>rg.err.T</t>
        </is>
      </c>
      <c r="B321" s="7" t="inlineStr">
        <is>
          <t>D-050 pre-test mean |coverage − 0.80|, shape T</t>
        </is>
      </c>
      <c r="C321" s="8" t="n">
        <v>0.05767392458842269</v>
      </c>
      <c r="D321" s="7" t="inlineStr">
        <is>
          <t>share</t>
        </is>
      </c>
      <c r="E321" s="7" t="inlineStr">
        <is>
          <t>ranges</t>
        </is>
      </c>
      <c r="F321" s="7" t="inlineStr">
        <is>
          <t>artifacts/research/gt-ranges-2026-10-21/summary.json</t>
        </is>
      </c>
      <c r="G321" s="7" t="inlineStr">
        <is>
          <t>/pre_test_check/coverage_error/T</t>
        </is>
      </c>
      <c r="H321" s="7" t="inlineStr">
        <is>
          <t>2026-10-20T17:40:17+00:00</t>
        </is>
      </c>
      <c r="I321" s="7" t="inlineStr">
        <is>
          <t>181b8c28e242361beeda778b2f9baa4b7a1091cf66e2e14b7a178682de8df7fd</t>
        </is>
      </c>
      <c r="J321" s="7" t="inlineStr">
        <is>
          <t>protocol configs/experiments/gt-ranges-2026-10-21.yaml (first commit 0de0889 2026-10-20T23:09:42+05:30)</t>
        </is>
      </c>
      <c r="K321" s="7" t="inlineStr">
        <is>
          <t>local / reproducible-only (git-ignored)</t>
        </is>
      </c>
    </row>
    <row r="322">
      <c r="A322" s="7" t="inlineStr">
        <is>
          <t>rg.width.T</t>
        </is>
      </c>
      <c r="B322" s="7" t="inlineStr">
        <is>
          <t>D-050 pre-test mean width, shape T</t>
        </is>
      </c>
      <c r="C322" s="8" t="n">
        <v>51.59461398513822</v>
      </c>
      <c r="D322" s="7" t="inlineStr">
        <is>
          <t>mg/dL</t>
        </is>
      </c>
      <c r="E322" s="7" t="inlineStr">
        <is>
          <t>ranges</t>
        </is>
      </c>
      <c r="F322" s="7" t="inlineStr">
        <is>
          <t>artifacts/research/gt-ranges-2026-10-21/summary.json</t>
        </is>
      </c>
      <c r="G322" s="7" t="inlineStr">
        <is>
          <t>/pre_test_check/width_mean/T</t>
        </is>
      </c>
      <c r="H322" s="7" t="inlineStr">
        <is>
          <t>2026-10-20T17:40:17+00:00</t>
        </is>
      </c>
      <c r="I322" s="7" t="inlineStr">
        <is>
          <t>181b8c28e242361beeda778b2f9baa4b7a1091cf66e2e14b7a178682de8df7fd</t>
        </is>
      </c>
      <c r="J322" s="7" t="inlineStr">
        <is>
          <t>protocol configs/experiments/gt-ranges-2026-10-21.yaml (first commit 0de0889 2026-10-20T23:09:42+05:30)</t>
        </is>
      </c>
      <c r="K322" s="7" t="inlineStr">
        <is>
          <t>local / reproducible-only (git-ignored)</t>
        </is>
      </c>
    </row>
    <row r="323">
      <c r="A323" s="7" t="inlineStr">
        <is>
          <t>rg.chosen</t>
        </is>
      </c>
      <c r="B323" s="7" t="inlineStr">
        <is>
          <t>D-050 saved choice</t>
        </is>
      </c>
      <c r="C323" s="7" t="inlineStr">
        <is>
          <t>G</t>
        </is>
      </c>
      <c r="D323" s="7" t="inlineStr">
        <is>
          <t>text</t>
        </is>
      </c>
      <c r="E323" s="7" t="inlineStr">
        <is>
          <t>ranges</t>
        </is>
      </c>
      <c r="F323" s="7" t="inlineStr">
        <is>
          <t>artifacts/research/gt-ranges-2026-10-21/summary.json</t>
        </is>
      </c>
      <c r="G323" s="7" t="inlineStr">
        <is>
          <t>/pre_test_check/chosen</t>
        </is>
      </c>
      <c r="H323" s="7" t="inlineStr">
        <is>
          <t>2026-10-20T17:40:17+00:00</t>
        </is>
      </c>
      <c r="I323" s="7" t="inlineStr">
        <is>
          <t>181b8c28e242361beeda778b2f9baa4b7a1091cf66e2e14b7a178682de8df7fd</t>
        </is>
      </c>
      <c r="J323" s="7" t="inlineStr">
        <is>
          <t>protocol configs/experiments/gt-ranges-2026-10-21.yaml (first commit 0de0889 2026-10-20T23:09:42+05:30)</t>
        </is>
      </c>
      <c r="K323" s="7" t="inlineStr">
        <is>
          <t>local / reproducible-only (git-ignored)</t>
        </is>
      </c>
    </row>
    <row r="324">
      <c r="A324" s="7" t="inlineStr">
        <is>
          <t>rg.inc.cov30</t>
        </is>
      </c>
      <c r="B324" s="7" t="inlineStr">
        <is>
          <t>D-050 final test (read once), incumbent_G_calibration, 30 min coverage</t>
        </is>
      </c>
      <c r="C324" s="8" t="n">
        <v>0.7420444213534225</v>
      </c>
      <c r="D324" s="7" t="inlineStr">
        <is>
          <t>share</t>
        </is>
      </c>
      <c r="E324" s="7" t="inlineStr">
        <is>
          <t>ranges</t>
        </is>
      </c>
      <c r="F324" s="7" t="inlineStr">
        <is>
          <t>artifacts/research/gt-ranges-2026-10-21/summary.json</t>
        </is>
      </c>
      <c r="G324" s="7" t="inlineStr">
        <is>
          <t>/test_retrospective/incumbent_G_calibration/30/coverage</t>
        </is>
      </c>
      <c r="H324" s="7" t="inlineStr">
        <is>
          <t>2026-10-20T17:40:17+00:00</t>
        </is>
      </c>
      <c r="I324" s="7" t="inlineStr">
        <is>
          <t>181b8c28e242361beeda778b2f9baa4b7a1091cf66e2e14b7a178682de8df7fd</t>
        </is>
      </c>
      <c r="J324" s="7" t="inlineStr">
        <is>
          <t>protocol configs/experiments/gt-ranges-2026-10-21.yaml (first commit 0de0889 2026-10-20T23:09:42+05:30)</t>
        </is>
      </c>
      <c r="K324" s="7" t="inlineStr">
        <is>
          <t>local / reproducible-only (git-ignored)</t>
        </is>
      </c>
    </row>
    <row r="325">
      <c r="A325" s="7" t="inlineStr">
        <is>
          <t>rg.inc.width30</t>
        </is>
      </c>
      <c r="B325" s="7" t="inlineStr">
        <is>
          <t>D-050 final test, incumbent_G_calibration, 30 min mean width</t>
        </is>
      </c>
      <c r="C325" s="8" t="n">
        <v>33.42339942101563</v>
      </c>
      <c r="D325" s="7" t="inlineStr">
        <is>
          <t>mg/dL</t>
        </is>
      </c>
      <c r="E325" s="7" t="inlineStr">
        <is>
          <t>ranges</t>
        </is>
      </c>
      <c r="F325" s="7" t="inlineStr">
        <is>
          <t>artifacts/research/gt-ranges-2026-10-21/summary.json</t>
        </is>
      </c>
      <c r="G325" s="7" t="inlineStr">
        <is>
          <t>/test_retrospective/incumbent_G_calibration/30/width_mean</t>
        </is>
      </c>
      <c r="H325" s="7" t="inlineStr">
        <is>
          <t>2026-10-20T17:40:17+00:00</t>
        </is>
      </c>
      <c r="I325" s="7" t="inlineStr">
        <is>
          <t>181b8c28e242361beeda778b2f9baa4b7a1091cf66e2e14b7a178682de8df7fd</t>
        </is>
      </c>
      <c r="J325" s="7" t="inlineStr">
        <is>
          <t>protocol configs/experiments/gt-ranges-2026-10-21.yaml (first commit 0de0889 2026-10-20T23:09:42+05:30)</t>
        </is>
      </c>
      <c r="K325" s="7" t="inlineStr">
        <is>
          <t>local / reproducible-only (git-ignored)</t>
        </is>
      </c>
    </row>
    <row r="326">
      <c r="A326" s="7" t="inlineStr">
        <is>
          <t>rg.inc.rising30</t>
        </is>
      </c>
      <c r="B326" s="7" t="inlineStr">
        <is>
          <t>D-050 final test, incumbent_G_calibration, 30 min, rising (&gt; 1 mg/dL/min) coverage</t>
        </is>
      </c>
      <c r="C326" s="8" t="n">
        <v>0.4556040756914119</v>
      </c>
      <c r="D326" s="7" t="inlineStr">
        <is>
          <t>share</t>
        </is>
      </c>
      <c r="E326" s="7" t="inlineStr">
        <is>
          <t>ranges</t>
        </is>
      </c>
      <c r="F326" s="7" t="inlineStr">
        <is>
          <t>artifacts/research/gt-ranges-2026-10-21/summary.json</t>
        </is>
      </c>
      <c r="G326" s="7" t="inlineStr">
        <is>
          <t>/test_retrospective/incumbent_G_calibration/30/by_stratum/rising/coverage</t>
        </is>
      </c>
      <c r="H326" s="7" t="inlineStr">
        <is>
          <t>2026-10-20T17:40:17+00:00</t>
        </is>
      </c>
      <c r="I326" s="7" t="inlineStr">
        <is>
          <t>181b8c28e242361beeda778b2f9baa4b7a1091cf66e2e14b7a178682de8df7fd</t>
        </is>
      </c>
      <c r="J326" s="7" t="inlineStr">
        <is>
          <t>protocol configs/experiments/gt-ranges-2026-10-21.yaml (first commit 0de0889 2026-10-20T23:09:42+05:30)</t>
        </is>
      </c>
      <c r="K326" s="7" t="inlineStr">
        <is>
          <t>local / reproducible-only (git-ignored)</t>
        </is>
      </c>
    </row>
    <row r="327">
      <c r="A327" s="7" t="inlineStr">
        <is>
          <t>rg.inc.risingn30</t>
        </is>
      </c>
      <c r="B327" s="7" t="inlineStr">
        <is>
          <t>D-050 final test, rising, 30 min origins</t>
        </is>
      </c>
      <c r="C327" s="7" t="n">
        <v>687</v>
      </c>
      <c r="D327" s="7" t="inlineStr">
        <is>
          <t>origins</t>
        </is>
      </c>
      <c r="E327" s="7" t="inlineStr">
        <is>
          <t>ranges</t>
        </is>
      </c>
      <c r="F327" s="7" t="inlineStr">
        <is>
          <t>artifacts/research/gt-ranges-2026-10-21/summary.json</t>
        </is>
      </c>
      <c r="G327" s="7" t="inlineStr">
        <is>
          <t>/test_retrospective/incumbent_G_calibration/30/by_stratum/rising/n</t>
        </is>
      </c>
      <c r="H327" s="7" t="inlineStr">
        <is>
          <t>2026-10-20T17:40:17+00:00</t>
        </is>
      </c>
      <c r="I327" s="7" t="inlineStr">
        <is>
          <t>181b8c28e242361beeda778b2f9baa4b7a1091cf66e2e14b7a178682de8df7fd</t>
        </is>
      </c>
      <c r="J327" s="7" t="inlineStr">
        <is>
          <t>protocol configs/experiments/gt-ranges-2026-10-21.yaml (first commit 0de0889 2026-10-20T23:09:42+05:30)</t>
        </is>
      </c>
      <c r="K327" s="7" t="inlineStr">
        <is>
          <t>local / reproducible-only (git-ignored)</t>
        </is>
      </c>
    </row>
    <row r="328">
      <c r="A328" s="7" t="inlineStr">
        <is>
          <t>rg.inc.steady30</t>
        </is>
      </c>
      <c r="B328" s="7" t="inlineStr">
        <is>
          <t>D-050 final test, incumbent_G_calibration, 30 min, steady (&gt; 1 mg/dL/min) coverage</t>
        </is>
      </c>
      <c r="C328" s="8" t="n">
        <v>0.7839370078740158</v>
      </c>
      <c r="D328" s="7" t="inlineStr">
        <is>
          <t>share</t>
        </is>
      </c>
      <c r="E328" s="7" t="inlineStr">
        <is>
          <t>ranges</t>
        </is>
      </c>
      <c r="F328" s="7" t="inlineStr">
        <is>
          <t>artifacts/research/gt-ranges-2026-10-21/summary.json</t>
        </is>
      </c>
      <c r="G328" s="7" t="inlineStr">
        <is>
          <t>/test_retrospective/incumbent_G_calibration/30/by_stratum/steady/coverage</t>
        </is>
      </c>
      <c r="H328" s="7" t="inlineStr">
        <is>
          <t>2026-10-20T17:40:17+00:00</t>
        </is>
      </c>
      <c r="I328" s="7" t="inlineStr">
        <is>
          <t>181b8c28e242361beeda778b2f9baa4b7a1091cf66e2e14b7a178682de8df7fd</t>
        </is>
      </c>
      <c r="J328" s="7" t="inlineStr">
        <is>
          <t>protocol configs/experiments/gt-ranges-2026-10-21.yaml (first commit 0de0889 2026-10-20T23:09:42+05:30)</t>
        </is>
      </c>
      <c r="K328" s="7" t="inlineStr">
        <is>
          <t>local / reproducible-only (git-ignored)</t>
        </is>
      </c>
    </row>
    <row r="329">
      <c r="A329" s="7" t="inlineStr">
        <is>
          <t>rg.inc.steadyn30</t>
        </is>
      </c>
      <c r="B329" s="7" t="inlineStr">
        <is>
          <t>D-050 final test, steady, 30 min origins</t>
        </is>
      </c>
      <c r="C329" s="7" t="n">
        <v>6350</v>
      </c>
      <c r="D329" s="7" t="inlineStr">
        <is>
          <t>origins</t>
        </is>
      </c>
      <c r="E329" s="7" t="inlineStr">
        <is>
          <t>ranges</t>
        </is>
      </c>
      <c r="F329" s="7" t="inlineStr">
        <is>
          <t>artifacts/research/gt-ranges-2026-10-21/summary.json</t>
        </is>
      </c>
      <c r="G329" s="7" t="inlineStr">
        <is>
          <t>/test_retrospective/incumbent_G_calibration/30/by_stratum/steady/n</t>
        </is>
      </c>
      <c r="H329" s="7" t="inlineStr">
        <is>
          <t>2026-10-20T17:40:17+00:00</t>
        </is>
      </c>
      <c r="I329" s="7" t="inlineStr">
        <is>
          <t>181b8c28e242361beeda778b2f9baa4b7a1091cf66e2e14b7a178682de8df7fd</t>
        </is>
      </c>
      <c r="J329" s="7" t="inlineStr">
        <is>
          <t>protocol configs/experiments/gt-ranges-2026-10-21.yaml (first commit 0de0889 2026-10-20T23:09:42+05:30)</t>
        </is>
      </c>
      <c r="K329" s="7" t="inlineStr">
        <is>
          <t>local / reproducible-only (git-ignored)</t>
        </is>
      </c>
    </row>
    <row r="330">
      <c r="A330" s="7" t="inlineStr">
        <is>
          <t>rg.inc.falling30</t>
        </is>
      </c>
      <c r="B330" s="7" t="inlineStr">
        <is>
          <t>D-050 final test, incumbent_G_calibration, 30 min, falling (&gt; 1 mg/dL/min) coverage</t>
        </is>
      </c>
      <c r="C330" s="8" t="n">
        <v>0.6382978723404256</v>
      </c>
      <c r="D330" s="7" t="inlineStr">
        <is>
          <t>share</t>
        </is>
      </c>
      <c r="E330" s="7" t="inlineStr">
        <is>
          <t>ranges</t>
        </is>
      </c>
      <c r="F330" s="7" t="inlineStr">
        <is>
          <t>artifacts/research/gt-ranges-2026-10-21/summary.json</t>
        </is>
      </c>
      <c r="G330" s="7" t="inlineStr">
        <is>
          <t>/test_retrospective/incumbent_G_calibration/30/by_stratum/falling/coverage</t>
        </is>
      </c>
      <c r="H330" s="7" t="inlineStr">
        <is>
          <t>2026-10-20T17:40:17+00:00</t>
        </is>
      </c>
      <c r="I330" s="7" t="inlineStr">
        <is>
          <t>181b8c28e242361beeda778b2f9baa4b7a1091cf66e2e14b7a178682de8df7fd</t>
        </is>
      </c>
      <c r="J330" s="7" t="inlineStr">
        <is>
          <t>protocol configs/experiments/gt-ranges-2026-10-21.yaml (first commit 0de0889 2026-10-20T23:09:42+05:30)</t>
        </is>
      </c>
      <c r="K330" s="7" t="inlineStr">
        <is>
          <t>local / reproducible-only (git-ignored)</t>
        </is>
      </c>
    </row>
    <row r="331">
      <c r="A331" s="7" t="inlineStr">
        <is>
          <t>rg.inc.fallingn30</t>
        </is>
      </c>
      <c r="B331" s="7" t="inlineStr">
        <is>
          <t>D-050 final test, falling, 30 min origins</t>
        </is>
      </c>
      <c r="C331" s="7" t="n">
        <v>658</v>
      </c>
      <c r="D331" s="7" t="inlineStr">
        <is>
          <t>origins</t>
        </is>
      </c>
      <c r="E331" s="7" t="inlineStr">
        <is>
          <t>ranges</t>
        </is>
      </c>
      <c r="F331" s="7" t="inlineStr">
        <is>
          <t>artifacts/research/gt-ranges-2026-10-21/summary.json</t>
        </is>
      </c>
      <c r="G331" s="7" t="inlineStr">
        <is>
          <t>/test_retrospective/incumbent_G_calibration/30/by_stratum/falling/n</t>
        </is>
      </c>
      <c r="H331" s="7" t="inlineStr">
        <is>
          <t>2026-10-20T17:40:17+00:00</t>
        </is>
      </c>
      <c r="I331" s="7" t="inlineStr">
        <is>
          <t>181b8c28e242361beeda778b2f9baa4b7a1091cf66e2e14b7a178682de8df7fd</t>
        </is>
      </c>
      <c r="J331" s="7" t="inlineStr">
        <is>
          <t>protocol configs/experiments/gt-ranges-2026-10-21.yaml (first commit 0de0889 2026-10-20T23:09:42+05:30)</t>
        </is>
      </c>
      <c r="K331" s="7" t="inlineStr">
        <is>
          <t>local / reproducible-only (git-ignored)</t>
        </is>
      </c>
    </row>
    <row r="332">
      <c r="A332" s="7" t="inlineStr">
        <is>
          <t>rg.inc.cov60</t>
        </is>
      </c>
      <c r="B332" s="7" t="inlineStr">
        <is>
          <t>D-050 final test (read once), incumbent_G_calibration, 60 min coverage</t>
        </is>
      </c>
      <c r="C332" s="8" t="n">
        <v>0.7397919375812744</v>
      </c>
      <c r="D332" s="7" t="inlineStr">
        <is>
          <t>share</t>
        </is>
      </c>
      <c r="E332" s="7" t="inlineStr">
        <is>
          <t>ranges</t>
        </is>
      </c>
      <c r="F332" s="7" t="inlineStr">
        <is>
          <t>artifacts/research/gt-ranges-2026-10-21/summary.json</t>
        </is>
      </c>
      <c r="G332" s="7" t="inlineStr">
        <is>
          <t>/test_retrospective/incumbent_G_calibration/60/coverage</t>
        </is>
      </c>
      <c r="H332" s="7" t="inlineStr">
        <is>
          <t>2026-10-20T17:40:17+00:00</t>
        </is>
      </c>
      <c r="I332" s="7" t="inlineStr">
        <is>
          <t>181b8c28e242361beeda778b2f9baa4b7a1091cf66e2e14b7a178682de8df7fd</t>
        </is>
      </c>
      <c r="J332" s="7" t="inlineStr">
        <is>
          <t>protocol configs/experiments/gt-ranges-2026-10-21.yaml (first commit 0de0889 2026-10-20T23:09:42+05:30)</t>
        </is>
      </c>
      <c r="K332" s="7" t="inlineStr">
        <is>
          <t>local / reproducible-only (git-ignored)</t>
        </is>
      </c>
    </row>
    <row r="333">
      <c r="A333" s="7" t="inlineStr">
        <is>
          <t>rg.inc.width60</t>
        </is>
      </c>
      <c r="B333" s="7" t="inlineStr">
        <is>
          <t>D-050 final test, incumbent_G_calibration, 60 min mean width</t>
        </is>
      </c>
      <c r="C333" s="8" t="n">
        <v>52.72940590465078</v>
      </c>
      <c r="D333" s="7" t="inlineStr">
        <is>
          <t>mg/dL</t>
        </is>
      </c>
      <c r="E333" s="7" t="inlineStr">
        <is>
          <t>ranges</t>
        </is>
      </c>
      <c r="F333" s="7" t="inlineStr">
        <is>
          <t>artifacts/research/gt-ranges-2026-10-21/summary.json</t>
        </is>
      </c>
      <c r="G333" s="7" t="inlineStr">
        <is>
          <t>/test_retrospective/incumbent_G_calibration/60/width_mean</t>
        </is>
      </c>
      <c r="H333" s="7" t="inlineStr">
        <is>
          <t>2026-10-20T17:40:17+00:00</t>
        </is>
      </c>
      <c r="I333" s="7" t="inlineStr">
        <is>
          <t>181b8c28e242361beeda778b2f9baa4b7a1091cf66e2e14b7a178682de8df7fd</t>
        </is>
      </c>
      <c r="J333" s="7" t="inlineStr">
        <is>
          <t>protocol configs/experiments/gt-ranges-2026-10-21.yaml (first commit 0de0889 2026-10-20T23:09:42+05:30)</t>
        </is>
      </c>
      <c r="K333" s="7" t="inlineStr">
        <is>
          <t>local / reproducible-only (git-ignored)</t>
        </is>
      </c>
    </row>
    <row r="334">
      <c r="A334" s="7" t="inlineStr">
        <is>
          <t>rg.inc.rising60</t>
        </is>
      </c>
      <c r="B334" s="7" t="inlineStr">
        <is>
          <t>D-050 final test, incumbent_G_calibration, 60 min, rising (&gt; 1 mg/dL/min) coverage</t>
        </is>
      </c>
      <c r="C334" s="8" t="n">
        <v>0.5162241887905604</v>
      </c>
      <c r="D334" s="7" t="inlineStr">
        <is>
          <t>share</t>
        </is>
      </c>
      <c r="E334" s="7" t="inlineStr">
        <is>
          <t>ranges</t>
        </is>
      </c>
      <c r="F334" s="7" t="inlineStr">
        <is>
          <t>artifacts/research/gt-ranges-2026-10-21/summary.json</t>
        </is>
      </c>
      <c r="G334" s="7" t="inlineStr">
        <is>
          <t>/test_retrospective/incumbent_G_calibration/60/by_stratum/rising/coverage</t>
        </is>
      </c>
      <c r="H334" s="7" t="inlineStr">
        <is>
          <t>2026-10-20T17:40:17+00:00</t>
        </is>
      </c>
      <c r="I334" s="7" t="inlineStr">
        <is>
          <t>181b8c28e242361beeda778b2f9baa4b7a1091cf66e2e14b7a178682de8df7fd</t>
        </is>
      </c>
      <c r="J334" s="7" t="inlineStr">
        <is>
          <t>protocol configs/experiments/gt-ranges-2026-10-21.yaml (first commit 0de0889 2026-10-20T23:09:42+05:30)</t>
        </is>
      </c>
      <c r="K334" s="7" t="inlineStr">
        <is>
          <t>local / reproducible-only (git-ignored)</t>
        </is>
      </c>
    </row>
    <row r="335">
      <c r="A335" s="7" t="inlineStr">
        <is>
          <t>rg.inc.risingn60</t>
        </is>
      </c>
      <c r="B335" s="7" t="inlineStr">
        <is>
          <t>D-050 final test, rising, 60 min origins</t>
        </is>
      </c>
      <c r="C335" s="7" t="n">
        <v>678</v>
      </c>
      <c r="D335" s="7" t="inlineStr">
        <is>
          <t>origins</t>
        </is>
      </c>
      <c r="E335" s="7" t="inlineStr">
        <is>
          <t>ranges</t>
        </is>
      </c>
      <c r="F335" s="7" t="inlineStr">
        <is>
          <t>artifacts/research/gt-ranges-2026-10-21/summary.json</t>
        </is>
      </c>
      <c r="G335" s="7" t="inlineStr">
        <is>
          <t>/test_retrospective/incumbent_G_calibration/60/by_stratum/rising/n</t>
        </is>
      </c>
      <c r="H335" s="7" t="inlineStr">
        <is>
          <t>2026-10-20T17:40:17+00:00</t>
        </is>
      </c>
      <c r="I335" s="7" t="inlineStr">
        <is>
          <t>181b8c28e242361beeda778b2f9baa4b7a1091cf66e2e14b7a178682de8df7fd</t>
        </is>
      </c>
      <c r="J335" s="7" t="inlineStr">
        <is>
          <t>protocol configs/experiments/gt-ranges-2026-10-21.yaml (first commit 0de0889 2026-10-20T23:09:42+05:30)</t>
        </is>
      </c>
      <c r="K335" s="7" t="inlineStr">
        <is>
          <t>local / reproducible-only (git-ignored)</t>
        </is>
      </c>
    </row>
    <row r="336">
      <c r="A336" s="7" t="inlineStr">
        <is>
          <t>rg.inc.steady60</t>
        </is>
      </c>
      <c r="B336" s="7" t="inlineStr">
        <is>
          <t>D-050 final test, incumbent_G_calibration, 60 min, steady (&gt; 1 mg/dL/min) coverage</t>
        </is>
      </c>
      <c r="C336" s="8" t="n">
        <v>0.7794233496139908</v>
      </c>
      <c r="D336" s="7" t="inlineStr">
        <is>
          <t>share</t>
        </is>
      </c>
      <c r="E336" s="7" t="inlineStr">
        <is>
          <t>ranges</t>
        </is>
      </c>
      <c r="F336" s="7" t="inlineStr">
        <is>
          <t>artifacts/research/gt-ranges-2026-10-21/summary.json</t>
        </is>
      </c>
      <c r="G336" s="7" t="inlineStr">
        <is>
          <t>/test_retrospective/incumbent_G_calibration/60/by_stratum/steady/coverage</t>
        </is>
      </c>
      <c r="H336" s="7" t="inlineStr">
        <is>
          <t>2026-10-20T17:40:17+00:00</t>
        </is>
      </c>
      <c r="I336" s="7" t="inlineStr">
        <is>
          <t>181b8c28e242361beeda778b2f9baa4b7a1091cf66e2e14b7a178682de8df7fd</t>
        </is>
      </c>
      <c r="J336" s="7" t="inlineStr">
        <is>
          <t>protocol configs/experiments/gt-ranges-2026-10-21.yaml (first commit 0de0889 2026-10-20T23:09:42+05:30)</t>
        </is>
      </c>
      <c r="K336" s="7" t="inlineStr">
        <is>
          <t>local / reproducible-only (git-ignored)</t>
        </is>
      </c>
    </row>
    <row r="337">
      <c r="A337" s="7" t="inlineStr">
        <is>
          <t>rg.inc.steadyn60</t>
        </is>
      </c>
      <c r="B337" s="7" t="inlineStr">
        <is>
          <t>D-050 final test, steady, 60 min origins</t>
        </is>
      </c>
      <c r="C337" s="7" t="n">
        <v>6347</v>
      </c>
      <c r="D337" s="7" t="inlineStr">
        <is>
          <t>origins</t>
        </is>
      </c>
      <c r="E337" s="7" t="inlineStr">
        <is>
          <t>ranges</t>
        </is>
      </c>
      <c r="F337" s="7" t="inlineStr">
        <is>
          <t>artifacts/research/gt-ranges-2026-10-21/summary.json</t>
        </is>
      </c>
      <c r="G337" s="7" t="inlineStr">
        <is>
          <t>/test_retrospective/incumbent_G_calibration/60/by_stratum/steady/n</t>
        </is>
      </c>
      <c r="H337" s="7" t="inlineStr">
        <is>
          <t>2026-10-20T17:40:17+00:00</t>
        </is>
      </c>
      <c r="I337" s="7" t="inlineStr">
        <is>
          <t>181b8c28e242361beeda778b2f9baa4b7a1091cf66e2e14b7a178682de8df7fd</t>
        </is>
      </c>
      <c r="J337" s="7" t="inlineStr">
        <is>
          <t>protocol configs/experiments/gt-ranges-2026-10-21.yaml (first commit 0de0889 2026-10-20T23:09:42+05:30)</t>
        </is>
      </c>
      <c r="K337" s="7" t="inlineStr">
        <is>
          <t>local / reproducible-only (git-ignored)</t>
        </is>
      </c>
    </row>
    <row r="338">
      <c r="A338" s="7" t="inlineStr">
        <is>
          <t>rg.inc.falling60</t>
        </is>
      </c>
      <c r="B338" s="7" t="inlineStr">
        <is>
          <t>D-050 final test, incumbent_G_calibration, 60 min, falling (&gt; 1 mg/dL/min) coverage</t>
        </is>
      </c>
      <c r="C338" s="8" t="n">
        <v>0.5900151285930408</v>
      </c>
      <c r="D338" s="7" t="inlineStr">
        <is>
          <t>share</t>
        </is>
      </c>
      <c r="E338" s="7" t="inlineStr">
        <is>
          <t>ranges</t>
        </is>
      </c>
      <c r="F338" s="7" t="inlineStr">
        <is>
          <t>artifacts/research/gt-ranges-2026-10-21/summary.json</t>
        </is>
      </c>
      <c r="G338" s="7" t="inlineStr">
        <is>
          <t>/test_retrospective/incumbent_G_calibration/60/by_stratum/falling/coverage</t>
        </is>
      </c>
      <c r="H338" s="7" t="inlineStr">
        <is>
          <t>2026-10-20T17:40:17+00:00</t>
        </is>
      </c>
      <c r="I338" s="7" t="inlineStr">
        <is>
          <t>181b8c28e242361beeda778b2f9baa4b7a1091cf66e2e14b7a178682de8df7fd</t>
        </is>
      </c>
      <c r="J338" s="7" t="inlineStr">
        <is>
          <t>protocol configs/experiments/gt-ranges-2026-10-21.yaml (first commit 0de0889 2026-10-20T23:09:42+05:30)</t>
        </is>
      </c>
      <c r="K338" s="7" t="inlineStr">
        <is>
          <t>local / reproducible-only (git-ignored)</t>
        </is>
      </c>
    </row>
    <row r="339">
      <c r="A339" s="7" t="inlineStr">
        <is>
          <t>rg.inc.fallingn60</t>
        </is>
      </c>
      <c r="B339" s="7" t="inlineStr">
        <is>
          <t>D-050 final test, falling, 60 min origins</t>
        </is>
      </c>
      <c r="C339" s="7" t="n">
        <v>661</v>
      </c>
      <c r="D339" s="7" t="inlineStr">
        <is>
          <t>origins</t>
        </is>
      </c>
      <c r="E339" s="7" t="inlineStr">
        <is>
          <t>ranges</t>
        </is>
      </c>
      <c r="F339" s="7" t="inlineStr">
        <is>
          <t>artifacts/research/gt-ranges-2026-10-21/summary.json</t>
        </is>
      </c>
      <c r="G339" s="7" t="inlineStr">
        <is>
          <t>/test_retrospective/incumbent_G_calibration/60/by_stratum/falling/n</t>
        </is>
      </c>
      <c r="H339" s="7" t="inlineStr">
        <is>
          <t>2026-10-20T17:40:17+00:00</t>
        </is>
      </c>
      <c r="I339" s="7" t="inlineStr">
        <is>
          <t>181b8c28e242361beeda778b2f9baa4b7a1091cf66e2e14b7a178682de8df7fd</t>
        </is>
      </c>
      <c r="J339" s="7" t="inlineStr">
        <is>
          <t>protocol configs/experiments/gt-ranges-2026-10-21.yaml (first commit 0de0889 2026-10-20T23:09:42+05:30)</t>
        </is>
      </c>
      <c r="K339" s="7" t="inlineStr">
        <is>
          <t>local / reproducible-only (git-ignored)</t>
        </is>
      </c>
    </row>
    <row r="340">
      <c r="A340" s="7" t="inlineStr">
        <is>
          <t>rg.pool.cov30</t>
        </is>
      </c>
      <c r="B340" s="7" t="inlineStr">
        <is>
          <t>D-050 final test (read once), G_pooled, 30 min coverage</t>
        </is>
      </c>
      <c r="C340" s="8" t="n">
        <v>0.7791921028705027</v>
      </c>
      <c r="D340" s="7" t="inlineStr">
        <is>
          <t>share</t>
        </is>
      </c>
      <c r="E340" s="7" t="inlineStr">
        <is>
          <t>ranges</t>
        </is>
      </c>
      <c r="F340" s="7" t="inlineStr">
        <is>
          <t>artifacts/research/gt-ranges-2026-10-21/summary.json</t>
        </is>
      </c>
      <c r="G340" s="7" t="inlineStr">
        <is>
          <t>/test_retrospective/G_pooled/30/coverage</t>
        </is>
      </c>
      <c r="H340" s="7" t="inlineStr">
        <is>
          <t>2026-10-20T17:40:17+00:00</t>
        </is>
      </c>
      <c r="I340" s="7" t="inlineStr">
        <is>
          <t>181b8c28e242361beeda778b2f9baa4b7a1091cf66e2e14b7a178682de8df7fd</t>
        </is>
      </c>
      <c r="J340" s="7" t="inlineStr">
        <is>
          <t>protocol configs/experiments/gt-ranges-2026-10-21.yaml (first commit 0de0889 2026-10-20T23:09:42+05:30)</t>
        </is>
      </c>
      <c r="K340" s="7" t="inlineStr">
        <is>
          <t>local / reproducible-only (git-ignored)</t>
        </is>
      </c>
    </row>
    <row r="341">
      <c r="A341" s="7" t="inlineStr">
        <is>
          <t>rg.pool.width30</t>
        </is>
      </c>
      <c r="B341" s="7" t="inlineStr">
        <is>
          <t>D-050 final test, G_pooled, 30 min mean width</t>
        </is>
      </c>
      <c r="C341" s="8" t="n">
        <v>37.76908950554337</v>
      </c>
      <c r="D341" s="7" t="inlineStr">
        <is>
          <t>mg/dL</t>
        </is>
      </c>
      <c r="E341" s="7" t="inlineStr">
        <is>
          <t>ranges</t>
        </is>
      </c>
      <c r="F341" s="7" t="inlineStr">
        <is>
          <t>artifacts/research/gt-ranges-2026-10-21/summary.json</t>
        </is>
      </c>
      <c r="G341" s="7" t="inlineStr">
        <is>
          <t>/test_retrospective/G_pooled/30/width_mean</t>
        </is>
      </c>
      <c r="H341" s="7" t="inlineStr">
        <is>
          <t>2026-10-20T17:40:17+00:00</t>
        </is>
      </c>
      <c r="I341" s="7" t="inlineStr">
        <is>
          <t>181b8c28e242361beeda778b2f9baa4b7a1091cf66e2e14b7a178682de8df7fd</t>
        </is>
      </c>
      <c r="J341" s="7" t="inlineStr">
        <is>
          <t>protocol configs/experiments/gt-ranges-2026-10-21.yaml (first commit 0de0889 2026-10-20T23:09:42+05:30)</t>
        </is>
      </c>
      <c r="K341" s="7" t="inlineStr">
        <is>
          <t>local / reproducible-only (git-ignored)</t>
        </is>
      </c>
    </row>
    <row r="342">
      <c r="A342" s="7" t="inlineStr">
        <is>
          <t>rg.pool.rising30</t>
        </is>
      </c>
      <c r="B342" s="7" t="inlineStr">
        <is>
          <t>D-050 final test, G_pooled, 30 min, rising (&gt; 1 mg/dL/min) coverage</t>
        </is>
      </c>
      <c r="C342" s="8" t="n">
        <v>0.4963609898107715</v>
      </c>
      <c r="D342" s="7" t="inlineStr">
        <is>
          <t>share</t>
        </is>
      </c>
      <c r="E342" s="7" t="inlineStr">
        <is>
          <t>ranges</t>
        </is>
      </c>
      <c r="F342" s="7" t="inlineStr">
        <is>
          <t>artifacts/research/gt-ranges-2026-10-21/summary.json</t>
        </is>
      </c>
      <c r="G342" s="7" t="inlineStr">
        <is>
          <t>/test_retrospective/G_pooled/30/by_stratum/rising/coverage</t>
        </is>
      </c>
      <c r="H342" s="7" t="inlineStr">
        <is>
          <t>2026-10-20T17:40:17+00:00</t>
        </is>
      </c>
      <c r="I342" s="7" t="inlineStr">
        <is>
          <t>181b8c28e242361beeda778b2f9baa4b7a1091cf66e2e14b7a178682de8df7fd</t>
        </is>
      </c>
      <c r="J342" s="7" t="inlineStr">
        <is>
          <t>protocol configs/experiments/gt-ranges-2026-10-21.yaml (first commit 0de0889 2026-10-20T23:09:42+05:30)</t>
        </is>
      </c>
      <c r="K342" s="7" t="inlineStr">
        <is>
          <t>local / reproducible-only (git-ignored)</t>
        </is>
      </c>
    </row>
    <row r="343">
      <c r="A343" s="7" t="inlineStr">
        <is>
          <t>rg.pool.steady30</t>
        </is>
      </c>
      <c r="B343" s="7" t="inlineStr">
        <is>
          <t>D-050 final test, G_pooled, 30 min, steady (&gt; 1 mg/dL/min) coverage</t>
        </is>
      </c>
      <c r="C343" s="8" t="n">
        <v>0.8177952755905512</v>
      </c>
      <c r="D343" s="7" t="inlineStr">
        <is>
          <t>share</t>
        </is>
      </c>
      <c r="E343" s="7" t="inlineStr">
        <is>
          <t>ranges</t>
        </is>
      </c>
      <c r="F343" s="7" t="inlineStr">
        <is>
          <t>artifacts/research/gt-ranges-2026-10-21/summary.json</t>
        </is>
      </c>
      <c r="G343" s="7" t="inlineStr">
        <is>
          <t>/test_retrospective/G_pooled/30/by_stratum/steady/coverage</t>
        </is>
      </c>
      <c r="H343" s="7" t="inlineStr">
        <is>
          <t>2026-10-20T17:40:17+00:00</t>
        </is>
      </c>
      <c r="I343" s="7" t="inlineStr">
        <is>
          <t>181b8c28e242361beeda778b2f9baa4b7a1091cf66e2e14b7a178682de8df7fd</t>
        </is>
      </c>
      <c r="J343" s="7" t="inlineStr">
        <is>
          <t>protocol configs/experiments/gt-ranges-2026-10-21.yaml (first commit 0de0889 2026-10-20T23:09:42+05:30)</t>
        </is>
      </c>
      <c r="K343" s="7" t="inlineStr">
        <is>
          <t>local / reproducible-only (git-ignored)</t>
        </is>
      </c>
    </row>
    <row r="344">
      <c r="A344" s="7" t="inlineStr">
        <is>
          <t>rg.pool.falling30</t>
        </is>
      </c>
      <c r="B344" s="7" t="inlineStr">
        <is>
          <t>D-050 final test, G_pooled, 30 min, falling (&gt; 1 mg/dL/min) coverage</t>
        </is>
      </c>
      <c r="C344" s="8" t="n">
        <v>0.7036474164133738</v>
      </c>
      <c r="D344" s="7" t="inlineStr">
        <is>
          <t>share</t>
        </is>
      </c>
      <c r="E344" s="7" t="inlineStr">
        <is>
          <t>ranges</t>
        </is>
      </c>
      <c r="F344" s="7" t="inlineStr">
        <is>
          <t>artifacts/research/gt-ranges-2026-10-21/summary.json</t>
        </is>
      </c>
      <c r="G344" s="7" t="inlineStr">
        <is>
          <t>/test_retrospective/G_pooled/30/by_stratum/falling/coverage</t>
        </is>
      </c>
      <c r="H344" s="7" t="inlineStr">
        <is>
          <t>2026-10-20T17:40:17+00:00</t>
        </is>
      </c>
      <c r="I344" s="7" t="inlineStr">
        <is>
          <t>181b8c28e242361beeda778b2f9baa4b7a1091cf66e2e14b7a178682de8df7fd</t>
        </is>
      </c>
      <c r="J344" s="7" t="inlineStr">
        <is>
          <t>protocol configs/experiments/gt-ranges-2026-10-21.yaml (first commit 0de0889 2026-10-20T23:09:42+05:30)</t>
        </is>
      </c>
      <c r="K344" s="7" t="inlineStr">
        <is>
          <t>local / reproducible-only (git-ignored)</t>
        </is>
      </c>
    </row>
    <row r="345">
      <c r="A345" s="7" t="inlineStr">
        <is>
          <t>rg.pool.cov60</t>
        </is>
      </c>
      <c r="B345" s="7" t="inlineStr">
        <is>
          <t>D-050 final test (read once), G_pooled, 60 min coverage</t>
        </is>
      </c>
      <c r="C345" s="8" t="n">
        <v>0.7868660598179453</v>
      </c>
      <c r="D345" s="7" t="inlineStr">
        <is>
          <t>share</t>
        </is>
      </c>
      <c r="E345" s="7" t="inlineStr">
        <is>
          <t>ranges</t>
        </is>
      </c>
      <c r="F345" s="7" t="inlineStr">
        <is>
          <t>artifacts/research/gt-ranges-2026-10-21/summary.json</t>
        </is>
      </c>
      <c r="G345" s="7" t="inlineStr">
        <is>
          <t>/test_retrospective/G_pooled/60/coverage</t>
        </is>
      </c>
      <c r="H345" s="7" t="inlineStr">
        <is>
          <t>2026-10-20T17:40:17+00:00</t>
        </is>
      </c>
      <c r="I345" s="7" t="inlineStr">
        <is>
          <t>181b8c28e242361beeda778b2f9baa4b7a1091cf66e2e14b7a178682de8df7fd</t>
        </is>
      </c>
      <c r="J345" s="7" t="inlineStr">
        <is>
          <t>protocol configs/experiments/gt-ranges-2026-10-21.yaml (first commit 0de0889 2026-10-20T23:09:42+05:30)</t>
        </is>
      </c>
      <c r="K345" s="7" t="inlineStr">
        <is>
          <t>local / reproducible-only (git-ignored)</t>
        </is>
      </c>
    </row>
    <row r="346">
      <c r="A346" s="7" t="inlineStr">
        <is>
          <t>rg.pool.width60</t>
        </is>
      </c>
      <c r="B346" s="7" t="inlineStr">
        <is>
          <t>D-050 final test, G_pooled, 60 min mean width</t>
        </is>
      </c>
      <c r="C346" s="8" t="n">
        <v>59.54125835272862</v>
      </c>
      <c r="D346" s="7" t="inlineStr">
        <is>
          <t>mg/dL</t>
        </is>
      </c>
      <c r="E346" s="7" t="inlineStr">
        <is>
          <t>ranges</t>
        </is>
      </c>
      <c r="F346" s="7" t="inlineStr">
        <is>
          <t>artifacts/research/gt-ranges-2026-10-21/summary.json</t>
        </is>
      </c>
      <c r="G346" s="7" t="inlineStr">
        <is>
          <t>/test_retrospective/G_pooled/60/width_mean</t>
        </is>
      </c>
      <c r="H346" s="7" t="inlineStr">
        <is>
          <t>2026-10-20T17:40:17+00:00</t>
        </is>
      </c>
      <c r="I346" s="7" t="inlineStr">
        <is>
          <t>181b8c28e242361beeda778b2f9baa4b7a1091cf66e2e14b7a178682de8df7fd</t>
        </is>
      </c>
      <c r="J346" s="7" t="inlineStr">
        <is>
          <t>protocol configs/experiments/gt-ranges-2026-10-21.yaml (first commit 0de0889 2026-10-20T23:09:42+05:30)</t>
        </is>
      </c>
      <c r="K346" s="7" t="inlineStr">
        <is>
          <t>local / reproducible-only (git-ignored)</t>
        </is>
      </c>
    </row>
    <row r="347">
      <c r="A347" s="7" t="inlineStr">
        <is>
          <t>rg.pool.rising60</t>
        </is>
      </c>
      <c r="B347" s="7" t="inlineStr">
        <is>
          <t>D-050 final test, G_pooled, 60 min, rising (&gt; 1 mg/dL/min) coverage</t>
        </is>
      </c>
      <c r="C347" s="8" t="n">
        <v>0.5648967551622419</v>
      </c>
      <c r="D347" s="7" t="inlineStr">
        <is>
          <t>share</t>
        </is>
      </c>
      <c r="E347" s="7" t="inlineStr">
        <is>
          <t>ranges</t>
        </is>
      </c>
      <c r="F347" s="7" t="inlineStr">
        <is>
          <t>artifacts/research/gt-ranges-2026-10-21/summary.json</t>
        </is>
      </c>
      <c r="G347" s="7" t="inlineStr">
        <is>
          <t>/test_retrospective/G_pooled/60/by_stratum/rising/coverage</t>
        </is>
      </c>
      <c r="H347" s="7" t="inlineStr">
        <is>
          <t>2026-10-20T17:40:17+00:00</t>
        </is>
      </c>
      <c r="I347" s="7" t="inlineStr">
        <is>
          <t>181b8c28e242361beeda778b2f9baa4b7a1091cf66e2e14b7a178682de8df7fd</t>
        </is>
      </c>
      <c r="J347" s="7" t="inlineStr">
        <is>
          <t>protocol configs/experiments/gt-ranges-2026-10-21.yaml (first commit 0de0889 2026-10-20T23:09:42+05:30)</t>
        </is>
      </c>
      <c r="K347" s="7" t="inlineStr">
        <is>
          <t>local / reproducible-only (git-ignored)</t>
        </is>
      </c>
    </row>
    <row r="348">
      <c r="A348" s="7" t="inlineStr">
        <is>
          <t>rg.pool.steady60</t>
        </is>
      </c>
      <c r="B348" s="7" t="inlineStr">
        <is>
          <t>D-050 final test, G_pooled, 60 min, steady (&gt; 1 mg/dL/min) coverage</t>
        </is>
      </c>
      <c r="C348" s="8" t="n">
        <v>0.8247991176933984</v>
      </c>
      <c r="D348" s="7" t="inlineStr">
        <is>
          <t>share</t>
        </is>
      </c>
      <c r="E348" s="7" t="inlineStr">
        <is>
          <t>ranges</t>
        </is>
      </c>
      <c r="F348" s="7" t="inlineStr">
        <is>
          <t>artifacts/research/gt-ranges-2026-10-21/summary.json</t>
        </is>
      </c>
      <c r="G348" s="7" t="inlineStr">
        <is>
          <t>/test_retrospective/G_pooled/60/by_stratum/steady/coverage</t>
        </is>
      </c>
      <c r="H348" s="7" t="inlineStr">
        <is>
          <t>2026-10-20T17:40:17+00:00</t>
        </is>
      </c>
      <c r="I348" s="7" t="inlineStr">
        <is>
          <t>181b8c28e242361beeda778b2f9baa4b7a1091cf66e2e14b7a178682de8df7fd</t>
        </is>
      </c>
      <c r="J348" s="7" t="inlineStr">
        <is>
          <t>protocol configs/experiments/gt-ranges-2026-10-21.yaml (first commit 0de0889 2026-10-20T23:09:42+05:30)</t>
        </is>
      </c>
      <c r="K348" s="7" t="inlineStr">
        <is>
          <t>local / reproducible-only (git-ignored)</t>
        </is>
      </c>
    </row>
    <row r="349">
      <c r="A349" s="7" t="inlineStr">
        <is>
          <t>rg.pool.falling60</t>
        </is>
      </c>
      <c r="B349" s="7" t="inlineStr">
        <is>
          <t>D-050 final test, G_pooled, 60 min, falling (&gt; 1 mg/dL/min) coverage</t>
        </is>
      </c>
      <c r="C349" s="8" t="n">
        <v>0.6520423600605144</v>
      </c>
      <c r="D349" s="7" t="inlineStr">
        <is>
          <t>share</t>
        </is>
      </c>
      <c r="E349" s="7" t="inlineStr">
        <is>
          <t>ranges</t>
        </is>
      </c>
      <c r="F349" s="7" t="inlineStr">
        <is>
          <t>artifacts/research/gt-ranges-2026-10-21/summary.json</t>
        </is>
      </c>
      <c r="G349" s="7" t="inlineStr">
        <is>
          <t>/test_retrospective/G_pooled/60/by_stratum/falling/coverage</t>
        </is>
      </c>
      <c r="H349" s="7" t="inlineStr">
        <is>
          <t>2026-10-20T17:40:17+00:00</t>
        </is>
      </c>
      <c r="I349" s="7" t="inlineStr">
        <is>
          <t>181b8c28e242361beeda778b2f9baa4b7a1091cf66e2e14b7a178682de8df7fd</t>
        </is>
      </c>
      <c r="J349" s="7" t="inlineStr">
        <is>
          <t>protocol configs/experiments/gt-ranges-2026-10-21.yaml (first commit 0de0889 2026-10-20T23:09:42+05:30)</t>
        </is>
      </c>
      <c r="K349" s="7" t="inlineStr">
        <is>
          <t>local / reproducible-only (git-ignored)</t>
        </is>
      </c>
    </row>
    <row r="350">
      <c r="A350" s="7" t="inlineStr">
        <is>
          <t>rg.generated_at</t>
        </is>
      </c>
      <c r="B350" s="7" t="inlineStr">
        <is>
          <t>D-050 run time</t>
        </is>
      </c>
      <c r="C350" s="10" t="n">
        <v>46315.73630787037</v>
      </c>
      <c r="D350" s="7" t="inlineStr">
        <is>
          <t>UTC</t>
        </is>
      </c>
      <c r="E350" s="7" t="inlineStr">
        <is>
          <t>ranges</t>
        </is>
      </c>
      <c r="F350" s="7" t="inlineStr">
        <is>
          <t>artifacts/research/gt-ranges-2026-10-21/summary.json</t>
        </is>
      </c>
      <c r="G350" s="7" t="inlineStr">
        <is>
          <t>/generated_at</t>
        </is>
      </c>
      <c r="H350" s="7" t="inlineStr">
        <is>
          <t>2026-10-20T17:40:17+00:00</t>
        </is>
      </c>
      <c r="I350" s="7" t="inlineStr">
        <is>
          <t>181b8c28e242361beeda778b2f9baa4b7a1091cf66e2e14b7a178682de8df7fd</t>
        </is>
      </c>
      <c r="J350" s="7" t="inlineStr">
        <is>
          <t>protocol configs/experiments/gt-ranges-2026-10-21.yaml (first commit 0de0889 2026-10-20T23:09:42+05:30)</t>
        </is>
      </c>
      <c r="K350" s="7" t="inlineStr">
        <is>
          <t>local / reproducible-only (git-ignored)</t>
        </is>
      </c>
    </row>
    <row r="351">
      <c r="A351" s="7" t="inlineStr">
        <is>
          <t>tu.C0.mae60</t>
        </is>
      </c>
      <c r="B351" s="7" t="inlineStr">
        <is>
          <t>D-051 C0_current_features: 60-min personalised macro MAE</t>
        </is>
      </c>
      <c r="C351" s="8" t="n">
        <v>22.26684366571514</v>
      </c>
      <c r="D351" s="7" t="inlineStr">
        <is>
          <t>mg/dL</t>
        </is>
      </c>
      <c r="E351" s="7" t="inlineStr">
        <is>
          <t>tune</t>
        </is>
      </c>
      <c r="F351" s="7" t="inlineStr">
        <is>
          <t>artifacts/research/gt-tune-2026-10-21/summary.json</t>
        </is>
      </c>
      <c r="G351" s="7" t="inlineStr">
        <is>
          <t>/arms/C0_current_features/60/mae</t>
        </is>
      </c>
      <c r="H351" s="7" t="inlineStr">
        <is>
          <t>2026-10-20T17:46:24+00:00</t>
        </is>
      </c>
      <c r="I351" s="7" t="inlineStr">
        <is>
          <t>fa860b4c52b4ddbf583de4bfc3ce57e24ca2a10aaee5aaffbd25c71ff2969bd7</t>
        </is>
      </c>
      <c r="J351" s="7" t="inlineStr">
        <is>
          <t>protocol configs/experiments/gt-tune-2026-10-21.yaml (first commit e7ff594 2026-10-20T23:14:37+05:30)</t>
        </is>
      </c>
      <c r="K351" s="7" t="inlineStr">
        <is>
          <t>local / reproducible-only (git-ignored)</t>
        </is>
      </c>
    </row>
    <row r="352">
      <c r="A352" s="7" t="inlineStr">
        <is>
          <t>tu.C1.mae60</t>
        </is>
      </c>
      <c r="B352" s="7" t="inlineStr">
        <is>
          <t>D-051 C1_with_history: 60-min personalised macro MAE</t>
        </is>
      </c>
      <c r="C352" s="8" t="n">
        <v>21.90058571510942</v>
      </c>
      <c r="D352" s="7" t="inlineStr">
        <is>
          <t>mg/dL</t>
        </is>
      </c>
      <c r="E352" s="7" t="inlineStr">
        <is>
          <t>tune</t>
        </is>
      </c>
      <c r="F352" s="7" t="inlineStr">
        <is>
          <t>artifacts/research/gt-tune-2026-10-21/summary.json</t>
        </is>
      </c>
      <c r="G352" s="7" t="inlineStr">
        <is>
          <t>/arms/C1_with_history/60/mae</t>
        </is>
      </c>
      <c r="H352" s="7" t="inlineStr">
        <is>
          <t>2026-10-20T17:46:24+00:00</t>
        </is>
      </c>
      <c r="I352" s="7" t="inlineStr">
        <is>
          <t>fa860b4c52b4ddbf583de4bfc3ce57e24ca2a10aaee5aaffbd25c71ff2969bd7</t>
        </is>
      </c>
      <c r="J352" s="7" t="inlineStr">
        <is>
          <t>protocol configs/experiments/gt-tune-2026-10-21.yaml (first commit e7ff594 2026-10-20T23:14:37+05:30)</t>
        </is>
      </c>
      <c r="K352" s="7" t="inlineStr">
        <is>
          <t>local / reproducible-only (git-ignored)</t>
        </is>
      </c>
    </row>
    <row r="353">
      <c r="A353" s="7" t="inlineStr">
        <is>
          <t>tu.R0.mae60</t>
        </is>
      </c>
      <c r="B353" s="7" t="inlineStr">
        <is>
          <t>D-051 R0_untuned_serving_recipe: 60-min personalised macro MAE</t>
        </is>
      </c>
      <c r="C353" s="8" t="n">
        <v>22.54823875736682</v>
      </c>
      <c r="D353" s="7" t="inlineStr">
        <is>
          <t>mg/dL</t>
        </is>
      </c>
      <c r="E353" s="7" t="inlineStr">
        <is>
          <t>tune</t>
        </is>
      </c>
      <c r="F353" s="7" t="inlineStr">
        <is>
          <t>artifacts/research/gt-tune-2026-10-21/summary.json</t>
        </is>
      </c>
      <c r="G353" s="7" t="inlineStr">
        <is>
          <t>/arms/R0_untuned_serving_recipe/60/mae</t>
        </is>
      </c>
      <c r="H353" s="7" t="inlineStr">
        <is>
          <t>2026-10-20T17:46:24+00:00</t>
        </is>
      </c>
      <c r="I353" s="7" t="inlineStr">
        <is>
          <t>fa860b4c52b4ddbf583de4bfc3ce57e24ca2a10aaee5aaffbd25c71ff2969bd7</t>
        </is>
      </c>
      <c r="J353" s="7" t="inlineStr">
        <is>
          <t>protocol configs/experiments/gt-tune-2026-10-21.yaml (first commit e7ff594 2026-10-20T23:14:37+05:30)</t>
        </is>
      </c>
      <c r="K353" s="7" t="inlineStr">
        <is>
          <t>local / reproducible-only (git-ignored)</t>
        </is>
      </c>
    </row>
    <row r="354">
      <c r="A354" s="7" t="inlineStr">
        <is>
          <t>tu.P.mae60</t>
        </is>
      </c>
      <c r="B354" s="7" t="inlineStr">
        <is>
          <t>D-051 persistence: 60-min personalised macro MAE</t>
        </is>
      </c>
      <c r="C354" s="8" t="n">
        <v>24.46718893219164</v>
      </c>
      <c r="D354" s="7" t="inlineStr">
        <is>
          <t>mg/dL</t>
        </is>
      </c>
      <c r="E354" s="7" t="inlineStr">
        <is>
          <t>tune</t>
        </is>
      </c>
      <c r="F354" s="7" t="inlineStr">
        <is>
          <t>artifacts/research/gt-tune-2026-10-21/summary.json</t>
        </is>
      </c>
      <c r="G354" s="7" t="inlineStr">
        <is>
          <t>/arms/persistence/60/mae</t>
        </is>
      </c>
      <c r="H354" s="7" t="inlineStr">
        <is>
          <t>2026-10-20T17:46:24+00:00</t>
        </is>
      </c>
      <c r="I354" s="7" t="inlineStr">
        <is>
          <t>fa860b4c52b4ddbf583de4bfc3ce57e24ca2a10aaee5aaffbd25c71ff2969bd7</t>
        </is>
      </c>
      <c r="J354" s="7" t="inlineStr">
        <is>
          <t>protocol configs/experiments/gt-tune-2026-10-21.yaml (first commit e7ff594 2026-10-20T23:14:37+05:30)</t>
        </is>
      </c>
      <c r="K354" s="7" t="inlineStr">
        <is>
          <t>local / reproducible-only (git-ignored)</t>
        </is>
      </c>
    </row>
    <row r="355">
      <c r="A355" s="7" t="inlineStr">
        <is>
          <t>tu.c1c0.mean_diff</t>
        </is>
      </c>
      <c r="B355" s="7" t="inlineStr">
        <is>
          <t>D-051 paired C1_with_history|C0_current_features|final|60: mean_diff</t>
        </is>
      </c>
      <c r="C355" s="8" t="n">
        <v>-0.3662579506057218</v>
      </c>
      <c r="D355" s="7" t="inlineStr">
        <is>
          <t>mg/dL</t>
        </is>
      </c>
      <c r="E355" s="7" t="inlineStr">
        <is>
          <t>tune</t>
        </is>
      </c>
      <c r="F355" s="7" t="inlineStr">
        <is>
          <t>artifacts/research/gt-tune-2026-10-21/summary.json</t>
        </is>
      </c>
      <c r="G355" s="7" t="inlineStr">
        <is>
          <t>/paired/C1_with_history|C0_current_features|final|60/mean_diff</t>
        </is>
      </c>
      <c r="H355" s="7" t="inlineStr">
        <is>
          <t>2026-10-20T17:46:24+00:00</t>
        </is>
      </c>
      <c r="I355" s="7" t="inlineStr">
        <is>
          <t>fa860b4c52b4ddbf583de4bfc3ce57e24ca2a10aaee5aaffbd25c71ff2969bd7</t>
        </is>
      </c>
      <c r="J355" s="7" t="inlineStr">
        <is>
          <t>protocol configs/experiments/gt-tune-2026-10-21.yaml (first commit e7ff594 2026-10-20T23:14:37+05:30)</t>
        </is>
      </c>
      <c r="K355" s="7" t="inlineStr">
        <is>
          <t>local / reproducible-only (git-ignored)</t>
        </is>
      </c>
    </row>
    <row r="356">
      <c r="A356" s="7" t="inlineStr">
        <is>
          <t>tu.c1c0.lo</t>
        </is>
      </c>
      <c r="B356" s="7" t="inlineStr">
        <is>
          <t>D-051 paired C1_with_history|C0_current_features|final|60: ci95[0]</t>
        </is>
      </c>
      <c r="C356" s="8" t="n">
        <v>-0.6332977188221357</v>
      </c>
      <c r="D356" s="7" t="inlineStr">
        <is>
          <t>mg/dL</t>
        </is>
      </c>
      <c r="E356" s="7" t="inlineStr">
        <is>
          <t>tune</t>
        </is>
      </c>
      <c r="F356" s="7" t="inlineStr">
        <is>
          <t>artifacts/research/gt-tune-2026-10-21/summary.json</t>
        </is>
      </c>
      <c r="G356" s="7" t="inlineStr">
        <is>
          <t>/paired/C1_with_history|C0_current_features|final|60/ci95[0]</t>
        </is>
      </c>
      <c r="H356" s="7" t="inlineStr">
        <is>
          <t>2026-10-20T17:46:24+00:00</t>
        </is>
      </c>
      <c r="I356" s="7" t="inlineStr">
        <is>
          <t>fa860b4c52b4ddbf583de4bfc3ce57e24ca2a10aaee5aaffbd25c71ff2969bd7</t>
        </is>
      </c>
      <c r="J356" s="7" t="inlineStr">
        <is>
          <t>protocol configs/experiments/gt-tune-2026-10-21.yaml (first commit e7ff594 2026-10-20T23:14:37+05:30)</t>
        </is>
      </c>
      <c r="K356" s="7" t="inlineStr">
        <is>
          <t>local / reproducible-only (git-ignored)</t>
        </is>
      </c>
    </row>
    <row r="357">
      <c r="A357" s="7" t="inlineStr">
        <is>
          <t>tu.c1c0.hi</t>
        </is>
      </c>
      <c r="B357" s="7" t="inlineStr">
        <is>
          <t>D-051 paired C1_with_history|C0_current_features|final|60: ci95[1]</t>
        </is>
      </c>
      <c r="C357" s="8" t="n">
        <v>-0.05906959714425934</v>
      </c>
      <c r="D357" s="7" t="inlineStr">
        <is>
          <t>mg/dL</t>
        </is>
      </c>
      <c r="E357" s="7" t="inlineStr">
        <is>
          <t>tune</t>
        </is>
      </c>
      <c r="F357" s="7" t="inlineStr">
        <is>
          <t>artifacts/research/gt-tune-2026-10-21/summary.json</t>
        </is>
      </c>
      <c r="G357" s="7" t="inlineStr">
        <is>
          <t>/paired/C1_with_history|C0_current_features|final|60/ci95[1]</t>
        </is>
      </c>
      <c r="H357" s="7" t="inlineStr">
        <is>
          <t>2026-10-20T17:46:24+00:00</t>
        </is>
      </c>
      <c r="I357" s="7" t="inlineStr">
        <is>
          <t>fa860b4c52b4ddbf583de4bfc3ce57e24ca2a10aaee5aaffbd25c71ff2969bd7</t>
        </is>
      </c>
      <c r="J357" s="7" t="inlineStr">
        <is>
          <t>protocol configs/experiments/gt-tune-2026-10-21.yaml (first commit e7ff594 2026-10-20T23:14:37+05:30)</t>
        </is>
      </c>
      <c r="K357" s="7" t="inlineStr">
        <is>
          <t>local / reproducible-only (git-ignored)</t>
        </is>
      </c>
    </row>
    <row r="358">
      <c r="A358" s="7" t="inlineStr">
        <is>
          <t>tu.c1c0.improved</t>
        </is>
      </c>
      <c r="B358" s="7" t="inlineStr">
        <is>
          <t>D-051 paired C1_with_history|C0_current_features|final|60: improved</t>
        </is>
      </c>
      <c r="C358" s="7" t="n">
        <v>10</v>
      </c>
      <c r="D358" s="7" t="inlineStr">
        <is>
          <t>people</t>
        </is>
      </c>
      <c r="E358" s="7" t="inlineStr">
        <is>
          <t>tune</t>
        </is>
      </c>
      <c r="F358" s="7" t="inlineStr">
        <is>
          <t>artifacts/research/gt-tune-2026-10-21/summary.json</t>
        </is>
      </c>
      <c r="G358" s="7" t="inlineStr">
        <is>
          <t>/paired/C1_with_history|C0_current_features|final|60/improved</t>
        </is>
      </c>
      <c r="H358" s="7" t="inlineStr">
        <is>
          <t>2026-10-20T17:46:24+00:00</t>
        </is>
      </c>
      <c r="I358" s="7" t="inlineStr">
        <is>
          <t>fa860b4c52b4ddbf583de4bfc3ce57e24ca2a10aaee5aaffbd25c71ff2969bd7</t>
        </is>
      </c>
      <c r="J358" s="7" t="inlineStr">
        <is>
          <t>protocol configs/experiments/gt-tune-2026-10-21.yaml (first commit e7ff594 2026-10-20T23:14:37+05:30)</t>
        </is>
      </c>
      <c r="K358" s="7" t="inlineStr">
        <is>
          <t>local / reproducible-only (git-ignored)</t>
        </is>
      </c>
    </row>
    <row r="359">
      <c r="A359" s="7" t="inlineStr">
        <is>
          <t>tu.c1r0.mean_diff</t>
        </is>
      </c>
      <c r="B359" s="7" t="inlineStr">
        <is>
          <t>D-051 paired C1_with_history|R0_untuned_serving_recipe|final|60: mean_diff</t>
        </is>
      </c>
      <c r="C359" s="8" t="n">
        <v>-0.6476530422574013</v>
      </c>
      <c r="D359" s="7" t="inlineStr">
        <is>
          <t>mg/dL</t>
        </is>
      </c>
      <c r="E359" s="7" t="inlineStr">
        <is>
          <t>tune</t>
        </is>
      </c>
      <c r="F359" s="7" t="inlineStr">
        <is>
          <t>artifacts/research/gt-tune-2026-10-21/summary.json</t>
        </is>
      </c>
      <c r="G359" s="7" t="inlineStr">
        <is>
          <t>/paired/C1_with_history|R0_untuned_serving_recipe|final|60/mean_diff</t>
        </is>
      </c>
      <c r="H359" s="7" t="inlineStr">
        <is>
          <t>2026-10-20T17:46:24+00:00</t>
        </is>
      </c>
      <c r="I359" s="7" t="inlineStr">
        <is>
          <t>fa860b4c52b4ddbf583de4bfc3ce57e24ca2a10aaee5aaffbd25c71ff2969bd7</t>
        </is>
      </c>
      <c r="J359" s="7" t="inlineStr">
        <is>
          <t>protocol configs/experiments/gt-tune-2026-10-21.yaml (first commit e7ff594 2026-10-20T23:14:37+05:30)</t>
        </is>
      </c>
      <c r="K359" s="7" t="inlineStr">
        <is>
          <t>local / reproducible-only (git-ignored)</t>
        </is>
      </c>
    </row>
    <row r="360">
      <c r="A360" s="7" t="inlineStr">
        <is>
          <t>tu.c1r0.lo</t>
        </is>
      </c>
      <c r="B360" s="7" t="inlineStr">
        <is>
          <t>D-051 paired C1_with_history|R0_untuned_serving_recipe|final|60: ci95[0]</t>
        </is>
      </c>
      <c r="C360" s="8" t="n">
        <v>-1.407151066981906</v>
      </c>
      <c r="D360" s="7" t="inlineStr">
        <is>
          <t>mg/dL</t>
        </is>
      </c>
      <c r="E360" s="7" t="inlineStr">
        <is>
          <t>tune</t>
        </is>
      </c>
      <c r="F360" s="7" t="inlineStr">
        <is>
          <t>artifacts/research/gt-tune-2026-10-21/summary.json</t>
        </is>
      </c>
      <c r="G360" s="7" t="inlineStr">
        <is>
          <t>/paired/C1_with_history|R0_untuned_serving_recipe|final|60/ci95[0]</t>
        </is>
      </c>
      <c r="H360" s="7" t="inlineStr">
        <is>
          <t>2026-10-20T17:46:24+00:00</t>
        </is>
      </c>
      <c r="I360" s="7" t="inlineStr">
        <is>
          <t>fa860b4c52b4ddbf583de4bfc3ce57e24ca2a10aaee5aaffbd25c71ff2969bd7</t>
        </is>
      </c>
      <c r="J360" s="7" t="inlineStr">
        <is>
          <t>protocol configs/experiments/gt-tune-2026-10-21.yaml (first commit e7ff594 2026-10-20T23:14:37+05:30)</t>
        </is>
      </c>
      <c r="K360" s="7" t="inlineStr">
        <is>
          <t>local / reproducible-only (git-ignored)</t>
        </is>
      </c>
    </row>
    <row r="361">
      <c r="A361" s="7" t="inlineStr">
        <is>
          <t>tu.c1r0.hi</t>
        </is>
      </c>
      <c r="B361" s="7" t="inlineStr">
        <is>
          <t>D-051 paired C1_with_history|R0_untuned_serving_recipe|final|60: ci95[1]</t>
        </is>
      </c>
      <c r="C361" s="8" t="n">
        <v>0.06997442087811187</v>
      </c>
      <c r="D361" s="7" t="inlineStr">
        <is>
          <t>mg/dL</t>
        </is>
      </c>
      <c r="E361" s="7" t="inlineStr">
        <is>
          <t>tune</t>
        </is>
      </c>
      <c r="F361" s="7" t="inlineStr">
        <is>
          <t>artifacts/research/gt-tune-2026-10-21/summary.json</t>
        </is>
      </c>
      <c r="G361" s="7" t="inlineStr">
        <is>
          <t>/paired/C1_with_history|R0_untuned_serving_recipe|final|60/ci95[1]</t>
        </is>
      </c>
      <c r="H361" s="7" t="inlineStr">
        <is>
          <t>2026-10-20T17:46:24+00:00</t>
        </is>
      </c>
      <c r="I361" s="7" t="inlineStr">
        <is>
          <t>fa860b4c52b4ddbf583de4bfc3ce57e24ca2a10aaee5aaffbd25c71ff2969bd7</t>
        </is>
      </c>
      <c r="J361" s="7" t="inlineStr">
        <is>
          <t>protocol configs/experiments/gt-tune-2026-10-21.yaml (first commit e7ff594 2026-10-20T23:14:37+05:30)</t>
        </is>
      </c>
      <c r="K361" s="7" t="inlineStr">
        <is>
          <t>local / reproducible-only (git-ignored)</t>
        </is>
      </c>
    </row>
    <row r="362">
      <c r="A362" s="7" t="inlineStr">
        <is>
          <t>tu.c1r0.improved</t>
        </is>
      </c>
      <c r="B362" s="7" t="inlineStr">
        <is>
          <t>D-051 paired C1_with_history|R0_untuned_serving_recipe|final|60: improved</t>
        </is>
      </c>
      <c r="C362" s="7" t="n">
        <v>8</v>
      </c>
      <c r="D362" s="7" t="inlineStr">
        <is>
          <t>people</t>
        </is>
      </c>
      <c r="E362" s="7" t="inlineStr">
        <is>
          <t>tune</t>
        </is>
      </c>
      <c r="F362" s="7" t="inlineStr">
        <is>
          <t>artifacts/research/gt-tune-2026-10-21/summary.json</t>
        </is>
      </c>
      <c r="G362" s="7" t="inlineStr">
        <is>
          <t>/paired/C1_with_history|R0_untuned_serving_recipe|final|60/improved</t>
        </is>
      </c>
      <c r="H362" s="7" t="inlineStr">
        <is>
          <t>2026-10-20T17:46:24+00:00</t>
        </is>
      </c>
      <c r="I362" s="7" t="inlineStr">
        <is>
          <t>fa860b4c52b4ddbf583de4bfc3ce57e24ca2a10aaee5aaffbd25c71ff2969bd7</t>
        </is>
      </c>
      <c r="J362" s="7" t="inlineStr">
        <is>
          <t>protocol configs/experiments/gt-tune-2026-10-21.yaml (first commit e7ff594 2026-10-20T23:14:37+05:30)</t>
        </is>
      </c>
      <c r="K362" s="7" t="inlineStr">
        <is>
          <t>local / reproducible-only (git-ignored)</t>
        </is>
      </c>
    </row>
    <row r="363">
      <c r="A363" s="7" t="inlineStr">
        <is>
          <t>tu.adopt.worsening_30</t>
        </is>
      </c>
      <c r="B363" s="7" t="inlineStr">
        <is>
          <t>D-051 adoption check: worsening_30</t>
        </is>
      </c>
      <c r="C363" s="8" t="n">
        <v>-0.06404351285316778</v>
      </c>
      <c r="D363" s="7" t="inlineStr">
        <is>
          <t>mg/dL</t>
        </is>
      </c>
      <c r="E363" s="7" t="inlineStr">
        <is>
          <t>tune</t>
        </is>
      </c>
      <c r="F363" s="7" t="inlineStr">
        <is>
          <t>artifacts/research/gt-tune-2026-10-21/summary.json</t>
        </is>
      </c>
      <c r="G363" s="7" t="inlineStr">
        <is>
          <t>/adoption/worsening_30</t>
        </is>
      </c>
      <c r="H363" s="7" t="inlineStr">
        <is>
          <t>2026-10-20T17:46:24+00:00</t>
        </is>
      </c>
      <c r="I363" s="7" t="inlineStr">
        <is>
          <t>fa860b4c52b4ddbf583de4bfc3ce57e24ca2a10aaee5aaffbd25c71ff2969bd7</t>
        </is>
      </c>
      <c r="J363" s="7" t="inlineStr">
        <is>
          <t>protocol configs/experiments/gt-tune-2026-10-21.yaml (first commit e7ff594 2026-10-20T23:14:37+05:30)</t>
        </is>
      </c>
      <c r="K363" s="7" t="inlineStr">
        <is>
          <t>local / reproducible-only (git-ignored)</t>
        </is>
      </c>
    </row>
    <row r="364">
      <c r="A364" s="7" t="inlineStr">
        <is>
          <t>tu.adopt.high_worsening_60</t>
        </is>
      </c>
      <c r="B364" s="7" t="inlineStr">
        <is>
          <t>D-051 adoption check: high_worsening_60</t>
        </is>
      </c>
      <c r="C364" s="8" t="n">
        <v>-0.7972356685781179</v>
      </c>
      <c r="D364" s="7" t="inlineStr">
        <is>
          <t>mg/dL</t>
        </is>
      </c>
      <c r="E364" s="7" t="inlineStr">
        <is>
          <t>tune</t>
        </is>
      </c>
      <c r="F364" s="7" t="inlineStr">
        <is>
          <t>artifacts/research/gt-tune-2026-10-21/summary.json</t>
        </is>
      </c>
      <c r="G364" s="7" t="inlineStr">
        <is>
          <t>/adoption/high_worsening_60</t>
        </is>
      </c>
      <c r="H364" s="7" t="inlineStr">
        <is>
          <t>2026-10-20T17:46:24+00:00</t>
        </is>
      </c>
      <c r="I364" s="7" t="inlineStr">
        <is>
          <t>fa860b4c52b4ddbf583de4bfc3ce57e24ca2a10aaee5aaffbd25c71ff2969bd7</t>
        </is>
      </c>
      <c r="J364" s="7" t="inlineStr">
        <is>
          <t>protocol configs/experiments/gt-tune-2026-10-21.yaml (first commit e7ff594 2026-10-20T23:14:37+05:30)</t>
        </is>
      </c>
      <c r="K364" s="7" t="inlineStr">
        <is>
          <t>local / reproducible-only (git-ignored)</t>
        </is>
      </c>
    </row>
    <row r="365">
      <c r="A365" s="7" t="inlineStr">
        <is>
          <t>tu.adopt.c1_better</t>
        </is>
      </c>
      <c r="B365" s="7" t="inlineStr">
        <is>
          <t>D-051 adoption check: c1_better</t>
        </is>
      </c>
      <c r="C365" s="7" t="inlineStr">
        <is>
          <t>FALSE</t>
        </is>
      </c>
      <c r="D365" s="7" t="inlineStr">
        <is>
          <t>flag</t>
        </is>
      </c>
      <c r="E365" s="7" t="inlineStr">
        <is>
          <t>tune</t>
        </is>
      </c>
      <c r="F365" s="7" t="inlineStr">
        <is>
          <t>artifacts/research/gt-tune-2026-10-21/summary.json</t>
        </is>
      </c>
      <c r="G365" s="7" t="inlineStr">
        <is>
          <t>/adoption/c1_better</t>
        </is>
      </c>
      <c r="H365" s="7" t="inlineStr">
        <is>
          <t>2026-10-20T17:46:24+00:00</t>
        </is>
      </c>
      <c r="I365" s="7" t="inlineStr">
        <is>
          <t>fa860b4c52b4ddbf583de4bfc3ce57e24ca2a10aaee5aaffbd25c71ff2969bd7</t>
        </is>
      </c>
      <c r="J365" s="7" t="inlineStr">
        <is>
          <t>protocol configs/experiments/gt-tune-2026-10-21.yaml (first commit e7ff594 2026-10-20T23:14:37+05:30)</t>
        </is>
      </c>
      <c r="K365" s="7" t="inlineStr">
        <is>
          <t>local / reproducible-only (git-ignored)</t>
        </is>
      </c>
    </row>
    <row r="366">
      <c r="A366" s="7" t="inlineStr">
        <is>
          <t>tu.opened_at</t>
        </is>
      </c>
      <c r="B366" s="7" t="inlineStr">
        <is>
          <t>D-051 outer folds opened</t>
        </is>
      </c>
      <c r="C366" s="10" t="n">
        <v>46315.74377314815</v>
      </c>
      <c r="D366" s="7" t="inlineStr">
        <is>
          <t>UTC</t>
        </is>
      </c>
      <c r="E366" s="7" t="inlineStr">
        <is>
          <t>tune</t>
        </is>
      </c>
      <c r="F366" s="7" t="inlineStr">
        <is>
          <t>artifacts/research/gt-tune-2026-10-21/summary.json</t>
        </is>
      </c>
      <c r="G366" s="7" t="inlineStr">
        <is>
          <t>/opened/opened_at</t>
        </is>
      </c>
      <c r="H366" s="7" t="inlineStr">
        <is>
          <t>2026-10-20T17:46:24+00:00</t>
        </is>
      </c>
      <c r="I366" s="7" t="inlineStr">
        <is>
          <t>fa860b4c52b4ddbf583de4bfc3ce57e24ca2a10aaee5aaffbd25c71ff2969bd7</t>
        </is>
      </c>
      <c r="J366" s="7" t="inlineStr">
        <is>
          <t>protocol configs/experiments/gt-tune-2026-10-21.yaml (first commit e7ff594 2026-10-20T23:14:37+05:30)</t>
        </is>
      </c>
      <c r="K366" s="7" t="inlineStr">
        <is>
          <t>local / reproducible-only (git-ignored)</t>
        </is>
      </c>
    </row>
    <row r="367">
      <c r="A367" s="7" t="inlineStr">
        <is>
          <t>tu.started_at</t>
        </is>
      </c>
      <c r="B367" s="7" t="inlineStr">
        <is>
          <t>D-051 run start</t>
        </is>
      </c>
      <c r="C367" s="10" t="n">
        <v>46315.74055555555</v>
      </c>
      <c r="D367" s="7" t="inlineStr">
        <is>
          <t>UTC</t>
        </is>
      </c>
      <c r="E367" s="7" t="inlineStr">
        <is>
          <t>tune</t>
        </is>
      </c>
      <c r="F367" s="7" t="inlineStr">
        <is>
          <t>artifacts/research/gt-tune-2026-10-21/summary.json</t>
        </is>
      </c>
      <c r="G367" s="7" t="inlineStr">
        <is>
          <t>/started_at</t>
        </is>
      </c>
      <c r="H367" s="7" t="inlineStr">
        <is>
          <t>2026-10-20T17:46:24+00:00</t>
        </is>
      </c>
      <c r="I367" s="7" t="inlineStr">
        <is>
          <t>fa860b4c52b4ddbf583de4bfc3ce57e24ca2a10aaee5aaffbd25c71ff2969bd7</t>
        </is>
      </c>
      <c r="J367" s="7" t="inlineStr">
        <is>
          <t>protocol configs/experiments/gt-tune-2026-10-21.yaml (first commit e7ff594 2026-10-20T23:14:37+05:30)</t>
        </is>
      </c>
      <c r="K367" s="7" t="inlineStr">
        <is>
          <t>local / reproducible-only (git-ignored)</t>
        </is>
      </c>
    </row>
    <row r="368">
      <c r="A368" s="7" t="inlineStr">
        <is>
          <t>jt.S.mae60</t>
        </is>
      </c>
      <c r="B368" s="7" t="inlineStr">
        <is>
          <t>D-052 S: 60-min personalised macro MAE</t>
        </is>
      </c>
      <c r="C368" s="8" t="n">
        <v>21.61578803447471</v>
      </c>
      <c r="D368" s="7" t="inlineStr">
        <is>
          <t>mg/dL</t>
        </is>
      </c>
      <c r="E368" s="7" t="inlineStr">
        <is>
          <t>joint</t>
        </is>
      </c>
      <c r="F368" s="7" t="inlineStr">
        <is>
          <t>artifacts/research/gt-joint-2026-10-21/summary.json</t>
        </is>
      </c>
      <c r="G368" s="7" t="inlineStr">
        <is>
          <t>/procedures/S/60/mae</t>
        </is>
      </c>
      <c r="H368" s="7" t="inlineStr">
        <is>
          <t>2026-10-20T18:44:07+00:00</t>
        </is>
      </c>
      <c r="I368" s="7" t="inlineStr">
        <is>
          <t>0feafab67e20ce254f0c6e89e6f6d6a8b3a66d0019d28d2786e03ffc75312bdb</t>
        </is>
      </c>
      <c r="J368" s="7" t="inlineStr">
        <is>
          <t>protocol configs/experiments/gt-joint-2026-10-21.yaml (first commit 903419d 2026-10-21T00:10:51+05:30)</t>
        </is>
      </c>
      <c r="K368" s="7" t="inlineStr">
        <is>
          <t>local / reproducible-only (git-ignored)</t>
        </is>
      </c>
    </row>
    <row r="369">
      <c r="A369" s="7" t="inlineStr">
        <is>
          <t>jt.S.share30</t>
        </is>
      </c>
      <c r="B369" s="7" t="inlineStr">
        <is>
          <t>D-052 S: share of all onsets warned ≥ 30 min</t>
        </is>
      </c>
      <c r="C369" s="8" t="n">
        <v>0.3434650455927052</v>
      </c>
      <c r="D369" s="7" t="inlineStr">
        <is>
          <t>share</t>
        </is>
      </c>
      <c r="E369" s="7" t="inlineStr">
        <is>
          <t>joint</t>
        </is>
      </c>
      <c r="F369" s="7" t="inlineStr">
        <is>
          <t>artifacts/research/gt-joint-2026-10-21/summary.json</t>
        </is>
      </c>
      <c r="G369" s="7" t="inlineStr">
        <is>
          <t>/warnings/S/share_ge30</t>
        </is>
      </c>
      <c r="H369" s="7" t="inlineStr">
        <is>
          <t>2026-10-20T18:44:07+00:00</t>
        </is>
      </c>
      <c r="I369" s="7" t="inlineStr">
        <is>
          <t>0feafab67e20ce254f0c6e89e6f6d6a8b3a66d0019d28d2786e03ffc75312bdb</t>
        </is>
      </c>
      <c r="J369" s="7" t="inlineStr">
        <is>
          <t>protocol configs/experiments/gt-joint-2026-10-21.yaml (first commit 903419d 2026-10-21T00:10:51+05:30)</t>
        </is>
      </c>
      <c r="K369" s="7" t="inlineStr">
        <is>
          <t>local / reproducible-only (git-ignored)</t>
        </is>
      </c>
    </row>
    <row r="370">
      <c r="A370" s="7" t="inlineStr">
        <is>
          <t>jt.S.fa</t>
        </is>
      </c>
      <c r="B370" s="7" t="inlineStr">
        <is>
          <t>D-052 S: false alarms per observed day</t>
        </is>
      </c>
      <c r="C370" s="8" t="n">
        <v>1.789404839764552</v>
      </c>
      <c r="D370" s="7" t="inlineStr">
        <is>
          <t>per observed day</t>
        </is>
      </c>
      <c r="E370" s="7" t="inlineStr">
        <is>
          <t>joint</t>
        </is>
      </c>
      <c r="F370" s="7" t="inlineStr">
        <is>
          <t>artifacts/research/gt-joint-2026-10-21/summary.json</t>
        </is>
      </c>
      <c r="G370" s="7" t="inlineStr">
        <is>
          <t>/warnings/S/fa_per_observed_day</t>
        </is>
      </c>
      <c r="H370" s="7" t="inlineStr">
        <is>
          <t>2026-10-20T18:44:07+00:00</t>
        </is>
      </c>
      <c r="I370" s="7" t="inlineStr">
        <is>
          <t>0feafab67e20ce254f0c6e89e6f6d6a8b3a66d0019d28d2786e03ffc75312bdb</t>
        </is>
      </c>
      <c r="J370" s="7" t="inlineStr">
        <is>
          <t>protocol configs/experiments/gt-joint-2026-10-21.yaml (first commit 903419d 2026-10-21T00:10:51+05:30)</t>
        </is>
      </c>
      <c r="K370" s="7" t="inlineStr">
        <is>
          <t>local / reproducible-only (git-ignored)</t>
        </is>
      </c>
    </row>
    <row r="371">
      <c r="A371" s="7" t="inlineStr">
        <is>
          <t>jt.R0.mae60</t>
        </is>
      </c>
      <c r="B371" s="7" t="inlineStr">
        <is>
          <t>D-052 R0: 60-min personalised macro MAE</t>
        </is>
      </c>
      <c r="C371" s="8" t="n">
        <v>22.4998433167292</v>
      </c>
      <c r="D371" s="7" t="inlineStr">
        <is>
          <t>mg/dL</t>
        </is>
      </c>
      <c r="E371" s="7" t="inlineStr">
        <is>
          <t>joint</t>
        </is>
      </c>
      <c r="F371" s="7" t="inlineStr">
        <is>
          <t>artifacts/research/gt-joint-2026-10-21/summary.json</t>
        </is>
      </c>
      <c r="G371" s="7" t="inlineStr">
        <is>
          <t>/procedures/R0/60/mae</t>
        </is>
      </c>
      <c r="H371" s="7" t="inlineStr">
        <is>
          <t>2026-10-20T18:44:07+00:00</t>
        </is>
      </c>
      <c r="I371" s="7" t="inlineStr">
        <is>
          <t>0feafab67e20ce254f0c6e89e6f6d6a8b3a66d0019d28d2786e03ffc75312bdb</t>
        </is>
      </c>
      <c r="J371" s="7" t="inlineStr">
        <is>
          <t>protocol configs/experiments/gt-joint-2026-10-21.yaml (first commit 903419d 2026-10-21T00:10:51+05:30)</t>
        </is>
      </c>
      <c r="K371" s="7" t="inlineStr">
        <is>
          <t>local / reproducible-only (git-ignored)</t>
        </is>
      </c>
    </row>
    <row r="372">
      <c r="A372" s="7" t="inlineStr">
        <is>
          <t>jt.R0.share30</t>
        </is>
      </c>
      <c r="B372" s="7" t="inlineStr">
        <is>
          <t>D-052 R0: share of all onsets warned ≥ 30 min</t>
        </is>
      </c>
      <c r="C372" s="8" t="n">
        <v>0.1884498480243161</v>
      </c>
      <c r="D372" s="7" t="inlineStr">
        <is>
          <t>share</t>
        </is>
      </c>
      <c r="E372" s="7" t="inlineStr">
        <is>
          <t>joint</t>
        </is>
      </c>
      <c r="F372" s="7" t="inlineStr">
        <is>
          <t>artifacts/research/gt-joint-2026-10-21/summary.json</t>
        </is>
      </c>
      <c r="G372" s="7" t="inlineStr">
        <is>
          <t>/warnings/R0/share_ge30</t>
        </is>
      </c>
      <c r="H372" s="7" t="inlineStr">
        <is>
          <t>2026-10-20T18:44:07+00:00</t>
        </is>
      </c>
      <c r="I372" s="7" t="inlineStr">
        <is>
          <t>0feafab67e20ce254f0c6e89e6f6d6a8b3a66d0019d28d2786e03ffc75312bdb</t>
        </is>
      </c>
      <c r="J372" s="7" t="inlineStr">
        <is>
          <t>protocol configs/experiments/gt-joint-2026-10-21.yaml (first commit 903419d 2026-10-21T00:10:51+05:30)</t>
        </is>
      </c>
      <c r="K372" s="7" t="inlineStr">
        <is>
          <t>local / reproducible-only (git-ignored)</t>
        </is>
      </c>
    </row>
    <row r="373">
      <c r="A373" s="7" t="inlineStr">
        <is>
          <t>jt.R0.fa</t>
        </is>
      </c>
      <c r="B373" s="7" t="inlineStr">
        <is>
          <t>D-052 R0: false alarms per observed day</t>
        </is>
      </c>
      <c r="C373" s="8" t="n">
        <v>1.188106857171605</v>
      </c>
      <c r="D373" s="7" t="inlineStr">
        <is>
          <t>per observed day</t>
        </is>
      </c>
      <c r="E373" s="7" t="inlineStr">
        <is>
          <t>joint</t>
        </is>
      </c>
      <c r="F373" s="7" t="inlineStr">
        <is>
          <t>artifacts/research/gt-joint-2026-10-21/summary.json</t>
        </is>
      </c>
      <c r="G373" s="7" t="inlineStr">
        <is>
          <t>/warnings/R0/fa_per_observed_day</t>
        </is>
      </c>
      <c r="H373" s="7" t="inlineStr">
        <is>
          <t>2026-10-20T18:44:07+00:00</t>
        </is>
      </c>
      <c r="I373" s="7" t="inlineStr">
        <is>
          <t>0feafab67e20ce254f0c6e89e6f6d6a8b3a66d0019d28d2786e03ffc75312bdb</t>
        </is>
      </c>
      <c r="J373" s="7" t="inlineStr">
        <is>
          <t>protocol configs/experiments/gt-joint-2026-10-21.yaml (first commit 903419d 2026-10-21T00:10:51+05:30)</t>
        </is>
      </c>
      <c r="K373" s="7" t="inlineStr">
        <is>
          <t>local / reproducible-only (git-ignored)</t>
        </is>
      </c>
    </row>
    <row r="374">
      <c r="A374" s="7" t="inlineStr">
        <is>
          <t>jt.gate.mean_diff_60</t>
        </is>
      </c>
      <c r="B374" s="7" t="inlineStr">
        <is>
          <t>D-052 primary gate value: mean_diff_60</t>
        </is>
      </c>
      <c r="C374" s="8" t="n">
        <v>-0.8840552822544975</v>
      </c>
      <c r="D374" s="7" t="inlineStr">
        <is>
          <t>mg/dL</t>
        </is>
      </c>
      <c r="E374" s="7" t="inlineStr">
        <is>
          <t>joint</t>
        </is>
      </c>
      <c r="F374" s="7" t="inlineStr">
        <is>
          <t>artifacts/research/gt-joint-2026-10-21/summary.json</t>
        </is>
      </c>
      <c r="G374" s="7" t="inlineStr">
        <is>
          <t>/gate/mean_diff_60</t>
        </is>
      </c>
      <c r="H374" s="7" t="inlineStr">
        <is>
          <t>2026-10-20T18:44:07+00:00</t>
        </is>
      </c>
      <c r="I374" s="7" t="inlineStr">
        <is>
          <t>0feafab67e20ce254f0c6e89e6f6d6a8b3a66d0019d28d2786e03ffc75312bdb</t>
        </is>
      </c>
      <c r="J374" s="7" t="inlineStr">
        <is>
          <t>protocol configs/experiments/gt-joint-2026-10-21.yaml (first commit 903419d 2026-10-21T00:10:51+05:30)</t>
        </is>
      </c>
      <c r="K374" s="7" t="inlineStr">
        <is>
          <t>local / reproducible-only (git-ignored)</t>
        </is>
      </c>
    </row>
    <row r="375">
      <c r="A375" s="7" t="inlineStr">
        <is>
          <t>jt.gate.ci95_60_lo</t>
        </is>
      </c>
      <c r="B375" s="7" t="inlineStr">
        <is>
          <t>D-052 primary gate value: ci95_60[0]</t>
        </is>
      </c>
      <c r="C375" s="8" t="n">
        <v>-1.753593326707099</v>
      </c>
      <c r="D375" s="7" t="inlineStr">
        <is>
          <t>mg/dL</t>
        </is>
      </c>
      <c r="E375" s="7" t="inlineStr">
        <is>
          <t>joint</t>
        </is>
      </c>
      <c r="F375" s="7" t="inlineStr">
        <is>
          <t>artifacts/research/gt-joint-2026-10-21/summary.json</t>
        </is>
      </c>
      <c r="G375" s="7" t="inlineStr">
        <is>
          <t>/gate/ci95_60[0]</t>
        </is>
      </c>
      <c r="H375" s="7" t="inlineStr">
        <is>
          <t>2026-10-20T18:44:07+00:00</t>
        </is>
      </c>
      <c r="I375" s="7" t="inlineStr">
        <is>
          <t>0feafab67e20ce254f0c6e89e6f6d6a8b3a66d0019d28d2786e03ffc75312bdb</t>
        </is>
      </c>
      <c r="J375" s="7" t="inlineStr">
        <is>
          <t>protocol configs/experiments/gt-joint-2026-10-21.yaml (first commit 903419d 2026-10-21T00:10:51+05:30)</t>
        </is>
      </c>
      <c r="K375" s="7" t="inlineStr">
        <is>
          <t>local / reproducible-only (git-ignored)</t>
        </is>
      </c>
    </row>
    <row r="376">
      <c r="A376" s="7" t="inlineStr">
        <is>
          <t>jt.gate.ci95_60_hi</t>
        </is>
      </c>
      <c r="B376" s="7" t="inlineStr">
        <is>
          <t>D-052 primary gate value: ci95_60[1]</t>
        </is>
      </c>
      <c r="C376" s="8" t="n">
        <v>-0.133030013381651</v>
      </c>
      <c r="D376" s="7" t="inlineStr">
        <is>
          <t>mg/dL</t>
        </is>
      </c>
      <c r="E376" s="7" t="inlineStr">
        <is>
          <t>joint</t>
        </is>
      </c>
      <c r="F376" s="7" t="inlineStr">
        <is>
          <t>artifacts/research/gt-joint-2026-10-21/summary.json</t>
        </is>
      </c>
      <c r="G376" s="7" t="inlineStr">
        <is>
          <t>/gate/ci95_60[1]</t>
        </is>
      </c>
      <c r="H376" s="7" t="inlineStr">
        <is>
          <t>2026-10-20T18:44:07+00:00</t>
        </is>
      </c>
      <c r="I376" s="7" t="inlineStr">
        <is>
          <t>0feafab67e20ce254f0c6e89e6f6d6a8b3a66d0019d28d2786e03ffc75312bdb</t>
        </is>
      </c>
      <c r="J376" s="7" t="inlineStr">
        <is>
          <t>protocol configs/experiments/gt-joint-2026-10-21.yaml (first commit 903419d 2026-10-21T00:10:51+05:30)</t>
        </is>
      </c>
      <c r="K376" s="7" t="inlineStr">
        <is>
          <t>local / reproducible-only (git-ignored)</t>
        </is>
      </c>
    </row>
    <row r="377">
      <c r="A377" s="7" t="inlineStr">
        <is>
          <t>jt.gate.worsening_30</t>
        </is>
      </c>
      <c r="B377" s="7" t="inlineStr">
        <is>
          <t>D-052 primary gate value: worsening_30</t>
        </is>
      </c>
      <c r="C377" s="8" t="n">
        <v>-0.5009092324187296</v>
      </c>
      <c r="D377" s="7" t="inlineStr">
        <is>
          <t>mg/dL</t>
        </is>
      </c>
      <c r="E377" s="7" t="inlineStr">
        <is>
          <t>joint</t>
        </is>
      </c>
      <c r="F377" s="7" t="inlineStr">
        <is>
          <t>artifacts/research/gt-joint-2026-10-21/summary.json</t>
        </is>
      </c>
      <c r="G377" s="7" t="inlineStr">
        <is>
          <t>/gate/worsening_30</t>
        </is>
      </c>
      <c r="H377" s="7" t="inlineStr">
        <is>
          <t>2026-10-20T18:44:07+00:00</t>
        </is>
      </c>
      <c r="I377" s="7" t="inlineStr">
        <is>
          <t>0feafab67e20ce254f0c6e89e6f6d6a8b3a66d0019d28d2786e03ffc75312bdb</t>
        </is>
      </c>
      <c r="J377" s="7" t="inlineStr">
        <is>
          <t>protocol configs/experiments/gt-joint-2026-10-21.yaml (first commit 903419d 2026-10-21T00:10:51+05:30)</t>
        </is>
      </c>
      <c r="K377" s="7" t="inlineStr">
        <is>
          <t>local / reproducible-only (git-ignored)</t>
        </is>
      </c>
    </row>
    <row r="378">
      <c r="A378" s="7" t="inlineStr">
        <is>
          <t>jt.gate.high_worsening_60</t>
        </is>
      </c>
      <c r="B378" s="7" t="inlineStr">
        <is>
          <t>D-052 primary gate value: high_worsening_60</t>
        </is>
      </c>
      <c r="C378" s="8" t="n">
        <v>1.697107579688918</v>
      </c>
      <c r="D378" s="7" t="inlineStr">
        <is>
          <t>mg/dL</t>
        </is>
      </c>
      <c r="E378" s="7" t="inlineStr">
        <is>
          <t>joint</t>
        </is>
      </c>
      <c r="F378" s="7" t="inlineStr">
        <is>
          <t>artifacts/research/gt-joint-2026-10-21/summary.json</t>
        </is>
      </c>
      <c r="G378" s="7" t="inlineStr">
        <is>
          <t>/gate/high_worsening_60</t>
        </is>
      </c>
      <c r="H378" s="7" t="inlineStr">
        <is>
          <t>2026-10-20T18:44:07+00:00</t>
        </is>
      </c>
      <c r="I378" s="7" t="inlineStr">
        <is>
          <t>0feafab67e20ce254f0c6e89e6f6d6a8b3a66d0019d28d2786e03ffc75312bdb</t>
        </is>
      </c>
      <c r="J378" s="7" t="inlineStr">
        <is>
          <t>protocol configs/experiments/gt-joint-2026-10-21.yaml (first commit 903419d 2026-10-21T00:10:51+05:30)</t>
        </is>
      </c>
      <c r="K378" s="7" t="inlineStr">
        <is>
          <t>local / reproducible-only (git-ignored)</t>
        </is>
      </c>
    </row>
    <row r="379">
      <c r="A379" s="7" t="inlineStr">
        <is>
          <t>jt.gate.availability_drop_points</t>
        </is>
      </c>
      <c r="B379" s="7" t="inlineStr">
        <is>
          <t>D-052 primary gate value: availability_drop_points</t>
        </is>
      </c>
      <c r="C379" s="8" t="n">
        <v>0</v>
      </c>
      <c r="D379" s="7" t="inlineStr">
        <is>
          <t>mg/dL</t>
        </is>
      </c>
      <c r="E379" s="7" t="inlineStr">
        <is>
          <t>joint</t>
        </is>
      </c>
      <c r="F379" s="7" t="inlineStr">
        <is>
          <t>artifacts/research/gt-joint-2026-10-21/summary.json</t>
        </is>
      </c>
      <c r="G379" s="7" t="inlineStr">
        <is>
          <t>/gate/availability_drop_points</t>
        </is>
      </c>
      <c r="H379" s="7" t="inlineStr">
        <is>
          <t>2026-10-20T18:44:07+00:00</t>
        </is>
      </c>
      <c r="I379" s="7" t="inlineStr">
        <is>
          <t>0feafab67e20ce254f0c6e89e6f6d6a8b3a66d0019d28d2786e03ffc75312bdb</t>
        </is>
      </c>
      <c r="J379" s="7" t="inlineStr">
        <is>
          <t>protocol configs/experiments/gt-joint-2026-10-21.yaml (first commit 903419d 2026-10-21T00:10:51+05:30)</t>
        </is>
      </c>
      <c r="K379" s="7" t="inlineStr">
        <is>
          <t>local / reproducible-only (git-ignored)</t>
        </is>
      </c>
    </row>
    <row r="380">
      <c r="A380" s="7" t="inlineStr">
        <is>
          <t>jt.gate.passed</t>
        </is>
      </c>
      <c r="B380" s="7" t="inlineStr">
        <is>
          <t>D-052 primary gate value: passed</t>
        </is>
      </c>
      <c r="C380" s="7" t="inlineStr">
        <is>
          <t>FALSE</t>
        </is>
      </c>
      <c r="D380" s="7" t="inlineStr">
        <is>
          <t>flag</t>
        </is>
      </c>
      <c r="E380" s="7" t="inlineStr">
        <is>
          <t>joint</t>
        </is>
      </c>
      <c r="F380" s="7" t="inlineStr">
        <is>
          <t>artifacts/research/gt-joint-2026-10-21/summary.json</t>
        </is>
      </c>
      <c r="G380" s="7" t="inlineStr">
        <is>
          <t>/gate/passed</t>
        </is>
      </c>
      <c r="H380" s="7" t="inlineStr">
        <is>
          <t>2026-10-20T18:44:07+00:00</t>
        </is>
      </c>
      <c r="I380" s="7" t="inlineStr">
        <is>
          <t>0feafab67e20ce254f0c6e89e6f6d6a8b3a66d0019d28d2786e03ffc75312bdb</t>
        </is>
      </c>
      <c r="J380" s="7" t="inlineStr">
        <is>
          <t>protocol configs/experiments/gt-joint-2026-10-21.yaml (first commit 903419d 2026-10-21T00:10:51+05:30)</t>
        </is>
      </c>
      <c r="K380" s="7" t="inlineStr">
        <is>
          <t>local / reproducible-only (git-ignored)</t>
        </is>
      </c>
    </row>
    <row r="381">
      <c r="A381" s="7" t="inlineStr">
        <is>
          <t>jt.rel.fa_per_day_delta</t>
        </is>
      </c>
      <c r="B381" s="7" t="inlineStr">
        <is>
          <t>D-052 release guardrail value: fa_per_day_delta</t>
        </is>
      </c>
      <c r="C381" s="8" t="n">
        <v>0.6012979825929465</v>
      </c>
      <c r="D381" s="7" t="inlineStr"/>
      <c r="E381" s="7" t="inlineStr">
        <is>
          <t>joint</t>
        </is>
      </c>
      <c r="F381" s="7" t="inlineStr">
        <is>
          <t>artifacts/research/gt-joint-2026-10-21/summary.json</t>
        </is>
      </c>
      <c r="G381" s="7" t="inlineStr">
        <is>
          <t>/release_guardrails/fa_per_day_delta</t>
        </is>
      </c>
      <c r="H381" s="7" t="inlineStr">
        <is>
          <t>2026-10-20T18:44:07+00:00</t>
        </is>
      </c>
      <c r="I381" s="7" t="inlineStr">
        <is>
          <t>0feafab67e20ce254f0c6e89e6f6d6a8b3a66d0019d28d2786e03ffc75312bdb</t>
        </is>
      </c>
      <c r="J381" s="7" t="inlineStr">
        <is>
          <t>protocol configs/experiments/gt-joint-2026-10-21.yaml (first commit 903419d 2026-10-21T00:10:51+05:30)</t>
        </is>
      </c>
      <c r="K381" s="7" t="inlineStr">
        <is>
          <t>local / reproducible-only (git-ignored)</t>
        </is>
      </c>
    </row>
    <row r="382">
      <c r="A382" s="7" t="inlineStr">
        <is>
          <t>jt.rel.time_in_warning_delta_points</t>
        </is>
      </c>
      <c r="B382" s="7" t="inlineStr">
        <is>
          <t>D-052 release guardrail value: time_in_warning_delta_points</t>
        </is>
      </c>
      <c r="C382" s="8" t="n">
        <v>5.357211335659776</v>
      </c>
      <c r="D382" s="7" t="inlineStr"/>
      <c r="E382" s="7" t="inlineStr">
        <is>
          <t>joint</t>
        </is>
      </c>
      <c r="F382" s="7" t="inlineStr">
        <is>
          <t>artifacts/research/gt-joint-2026-10-21/summary.json</t>
        </is>
      </c>
      <c r="G382" s="7" t="inlineStr">
        <is>
          <t>/release_guardrails/time_in_warning_delta_points</t>
        </is>
      </c>
      <c r="H382" s="7" t="inlineStr">
        <is>
          <t>2026-10-20T18:44:07+00:00</t>
        </is>
      </c>
      <c r="I382" s="7" t="inlineStr">
        <is>
          <t>0feafab67e20ce254f0c6e89e6f6d6a8b3a66d0019d28d2786e03ffc75312bdb</t>
        </is>
      </c>
      <c r="J382" s="7" t="inlineStr">
        <is>
          <t>protocol configs/experiments/gt-joint-2026-10-21.yaml (first commit 903419d 2026-10-21T00:10:51+05:30)</t>
        </is>
      </c>
      <c r="K382" s="7" t="inlineStr">
        <is>
          <t>local / reproducible-only (git-ignored)</t>
        </is>
      </c>
    </row>
    <row r="383">
      <c r="A383" s="7" t="inlineStr">
        <is>
          <t>jt.rel.warned30_delta_points</t>
        </is>
      </c>
      <c r="B383" s="7" t="inlineStr">
        <is>
          <t>D-052 release guardrail value: warned30_delta_points</t>
        </is>
      </c>
      <c r="C383" s="8" t="n">
        <v>15.50151975683891</v>
      </c>
      <c r="D383" s="7" t="inlineStr"/>
      <c r="E383" s="7" t="inlineStr">
        <is>
          <t>joint</t>
        </is>
      </c>
      <c r="F383" s="7" t="inlineStr">
        <is>
          <t>artifacts/research/gt-joint-2026-10-21/summary.json</t>
        </is>
      </c>
      <c r="G383" s="7" t="inlineStr">
        <is>
          <t>/release_guardrails/warned30_delta_points</t>
        </is>
      </c>
      <c r="H383" s="7" t="inlineStr">
        <is>
          <t>2026-10-20T18:44:07+00:00</t>
        </is>
      </c>
      <c r="I383" s="7" t="inlineStr">
        <is>
          <t>0feafab67e20ce254f0c6e89e6f6d6a8b3a66d0019d28d2786e03ffc75312bdb</t>
        </is>
      </c>
      <c r="J383" s="7" t="inlineStr">
        <is>
          <t>protocol configs/experiments/gt-joint-2026-10-21.yaml (first commit 903419d 2026-10-21T00:10:51+05:30)</t>
        </is>
      </c>
      <c r="K383" s="7" t="inlineStr">
        <is>
          <t>local / reproducible-only (git-ignored)</t>
        </is>
      </c>
    </row>
    <row r="384">
      <c r="A384" s="7" t="inlineStr">
        <is>
          <t>jt.rel.passed</t>
        </is>
      </c>
      <c r="B384" s="7" t="inlineStr">
        <is>
          <t>D-052 release guardrail value: passed</t>
        </is>
      </c>
      <c r="C384" s="7" t="inlineStr">
        <is>
          <t>FALSE</t>
        </is>
      </c>
      <c r="D384" s="7" t="inlineStr">
        <is>
          <t>flag</t>
        </is>
      </c>
      <c r="E384" s="7" t="inlineStr">
        <is>
          <t>joint</t>
        </is>
      </c>
      <c r="F384" s="7" t="inlineStr">
        <is>
          <t>artifacts/research/gt-joint-2026-10-21/summary.json</t>
        </is>
      </c>
      <c r="G384" s="7" t="inlineStr">
        <is>
          <t>/release_guardrails/passed</t>
        </is>
      </c>
      <c r="H384" s="7" t="inlineStr">
        <is>
          <t>2026-10-20T18:44:07+00:00</t>
        </is>
      </c>
      <c r="I384" s="7" t="inlineStr">
        <is>
          <t>0feafab67e20ce254f0c6e89e6f6d6a8b3a66d0019d28d2786e03ffc75312bdb</t>
        </is>
      </c>
      <c r="J384" s="7" t="inlineStr">
        <is>
          <t>protocol configs/experiments/gt-joint-2026-10-21.yaml (first commit 903419d 2026-10-21T00:10:51+05:30)</t>
        </is>
      </c>
      <c r="K384" s="7" t="inlineStr">
        <is>
          <t>local / reproducible-only (git-ignored)</t>
        </is>
      </c>
    </row>
    <row r="385">
      <c r="A385" s="7" t="inlineStr">
        <is>
          <t>jt.cov30</t>
        </is>
      </c>
      <c r="B385" s="7" t="inlineStr">
        <is>
          <t>D-052 candidate S range coverage, 30 min</t>
        </is>
      </c>
      <c r="C385" s="8" t="n">
        <v>0.7986429904656207</v>
      </c>
      <c r="D385" s="7" t="inlineStr">
        <is>
          <t>share</t>
        </is>
      </c>
      <c r="E385" s="7" t="inlineStr">
        <is>
          <t>joint</t>
        </is>
      </c>
      <c r="F385" s="7" t="inlineStr">
        <is>
          <t>artifacts/research/gt-joint-2026-10-21/summary.json</t>
        </is>
      </c>
      <c r="G385" s="7" t="inlineStr">
        <is>
          <t>/ranges/S/30/coverage</t>
        </is>
      </c>
      <c r="H385" s="7" t="inlineStr">
        <is>
          <t>2026-10-20T18:44:07+00:00</t>
        </is>
      </c>
      <c r="I385" s="7" t="inlineStr">
        <is>
          <t>0feafab67e20ce254f0c6e89e6f6d6a8b3a66d0019d28d2786e03ffc75312bdb</t>
        </is>
      </c>
      <c r="J385" s="7" t="inlineStr">
        <is>
          <t>protocol configs/experiments/gt-joint-2026-10-21.yaml (first commit 903419d 2026-10-21T00:10:51+05:30)</t>
        </is>
      </c>
      <c r="K385" s="7" t="inlineStr">
        <is>
          <t>local / reproducible-only (git-ignored)</t>
        </is>
      </c>
    </row>
    <row r="386">
      <c r="A386" s="7" t="inlineStr">
        <is>
          <t>jt.cov60</t>
        </is>
      </c>
      <c r="B386" s="7" t="inlineStr">
        <is>
          <t>D-052 candidate S range coverage, 60 min</t>
        </is>
      </c>
      <c r="C386" s="8" t="n">
        <v>0.7841377392359619</v>
      </c>
      <c r="D386" s="7" t="inlineStr">
        <is>
          <t>share</t>
        </is>
      </c>
      <c r="E386" s="7" t="inlineStr">
        <is>
          <t>joint</t>
        </is>
      </c>
      <c r="F386" s="7" t="inlineStr">
        <is>
          <t>artifacts/research/gt-joint-2026-10-21/summary.json</t>
        </is>
      </c>
      <c r="G386" s="7" t="inlineStr">
        <is>
          <t>/ranges/S/60/coverage</t>
        </is>
      </c>
      <c r="H386" s="7" t="inlineStr">
        <is>
          <t>2026-10-20T18:44:07+00:00</t>
        </is>
      </c>
      <c r="I386" s="7" t="inlineStr">
        <is>
          <t>0feafab67e20ce254f0c6e89e6f6d6a8b3a66d0019d28d2786e03ffc75312bdb</t>
        </is>
      </c>
      <c r="J386" s="7" t="inlineStr">
        <is>
          <t>protocol configs/experiments/gt-joint-2026-10-21.yaml (first commit 903419d 2026-10-21T00:10:51+05:30)</t>
        </is>
      </c>
      <c r="K386" s="7" t="inlineStr">
        <is>
          <t>local / reproducible-only (git-ignored)</t>
        </is>
      </c>
    </row>
    <row r="387">
      <c r="A387" s="7" t="inlineStr">
        <is>
          <t>jt.started_at</t>
        </is>
      </c>
      <c r="B387" s="7" t="inlineStr">
        <is>
          <t>D-052 run start</t>
        </is>
      </c>
      <c r="C387" s="10" t="n">
        <v>46315.78063657408</v>
      </c>
      <c r="D387" s="7" t="inlineStr">
        <is>
          <t>UTC</t>
        </is>
      </c>
      <c r="E387" s="7" t="inlineStr">
        <is>
          <t>joint</t>
        </is>
      </c>
      <c r="F387" s="7" t="inlineStr">
        <is>
          <t>artifacts/research/gt-joint-2026-10-21/summary.json</t>
        </is>
      </c>
      <c r="G387" s="7" t="inlineStr">
        <is>
          <t>/started_at</t>
        </is>
      </c>
      <c r="H387" s="7" t="inlineStr">
        <is>
          <t>2026-10-20T18:44:07+00:00</t>
        </is>
      </c>
      <c r="I387" s="7" t="inlineStr">
        <is>
          <t>0feafab67e20ce254f0c6e89e6f6d6a8b3a66d0019d28d2786e03ffc75312bdb</t>
        </is>
      </c>
      <c r="J387" s="7" t="inlineStr">
        <is>
          <t>protocol configs/experiments/gt-joint-2026-10-21.yaml (first commit 903419d 2026-10-21T00:10:51+05:30)</t>
        </is>
      </c>
      <c r="K387" s="7" t="inlineStr">
        <is>
          <t>local / reproducible-only (git-ignored)</t>
        </is>
      </c>
    </row>
    <row r="388">
      <c r="A388" s="7" t="inlineStr">
        <is>
          <t>jt.opened_at</t>
        </is>
      </c>
      <c r="B388" s="7" t="inlineStr">
        <is>
          <t>D-052 outer folds opened</t>
        </is>
      </c>
      <c r="C388" s="10" t="n">
        <v>46315.78961805555</v>
      </c>
      <c r="D388" s="7" t="inlineStr">
        <is>
          <t>UTC</t>
        </is>
      </c>
      <c r="E388" s="7" t="inlineStr">
        <is>
          <t>joint</t>
        </is>
      </c>
      <c r="F388" s="7" t="inlineStr">
        <is>
          <t>artifacts/research/gt-joint-2026-10-21/summary.json</t>
        </is>
      </c>
      <c r="G388" s="7" t="inlineStr">
        <is>
          <t>/opened/opened_at</t>
        </is>
      </c>
      <c r="H388" s="7" t="inlineStr">
        <is>
          <t>2026-10-20T18:44:07+00:00</t>
        </is>
      </c>
      <c r="I388" s="7" t="inlineStr">
        <is>
          <t>0feafab67e20ce254f0c6e89e6f6d6a8b3a66d0019d28d2786e03ffc75312bdb</t>
        </is>
      </c>
      <c r="J388" s="7" t="inlineStr">
        <is>
          <t>protocol configs/experiments/gt-joint-2026-10-21.yaml (first commit 903419d 2026-10-21T00:10:51+05:30)</t>
        </is>
      </c>
      <c r="K388" s="7" t="inlineStr">
        <is>
          <t>local / reproducible-only (git-ignored)</t>
        </is>
      </c>
    </row>
    <row r="389">
      <c r="A389" s="7" t="inlineStr">
        <is>
          <t>cs.S.mae30</t>
        </is>
      </c>
      <c r="B389" s="7" t="inlineStr">
        <is>
          <t>D-053 S: 30-min personalised macro MAE</t>
        </is>
      </c>
      <c r="C389" s="8" t="n">
        <v>13.89166460043039</v>
      </c>
      <c r="D389" s="7" t="inlineStr">
        <is>
          <t>mg/dL</t>
        </is>
      </c>
      <c r="E389" s="7" t="inlineStr">
        <is>
          <t>constrained</t>
        </is>
      </c>
      <c r="F389" s="7" t="inlineStr">
        <is>
          <t>artifacts/research/gt-constrained-2026-10-21/summary.json</t>
        </is>
      </c>
      <c r="G389" s="7" t="inlineStr">
        <is>
          <t>/procedures/S/30/mae</t>
        </is>
      </c>
      <c r="H389" s="7" t="inlineStr">
        <is>
          <t>2026-10-21T17:06:28+00:00</t>
        </is>
      </c>
      <c r="I389" s="7" t="inlineStr">
        <is>
          <t>d5385c8859b58494541d775b8846e422ad8de48c69b520365ec325f594cf7e14</t>
        </is>
      </c>
      <c r="J389" s="7" t="inlineStr">
        <is>
          <t>protocol configs/experiments/gt-constrained-2026-10-21.yaml (first commit 2e2b01a 2026-10-21T22:31:57+05:30)</t>
        </is>
      </c>
      <c r="K389" s="7" t="inlineStr">
        <is>
          <t>local / reproducible-only (git-ignored)</t>
        </is>
      </c>
    </row>
    <row r="390">
      <c r="A390" s="7" t="inlineStr">
        <is>
          <t>cs.S.mae60</t>
        </is>
      </c>
      <c r="B390" s="7" t="inlineStr">
        <is>
          <t>D-053 S: 60-min personalised macro MAE</t>
        </is>
      </c>
      <c r="C390" s="8" t="n">
        <v>22.00315705372129</v>
      </c>
      <c r="D390" s="7" t="inlineStr">
        <is>
          <t>mg/dL</t>
        </is>
      </c>
      <c r="E390" s="7" t="inlineStr">
        <is>
          <t>constrained</t>
        </is>
      </c>
      <c r="F390" s="7" t="inlineStr">
        <is>
          <t>artifacts/research/gt-constrained-2026-10-21/summary.json</t>
        </is>
      </c>
      <c r="G390" s="7" t="inlineStr">
        <is>
          <t>/procedures/S/60/mae</t>
        </is>
      </c>
      <c r="H390" s="7" t="inlineStr">
        <is>
          <t>2026-10-21T17:06:28+00:00</t>
        </is>
      </c>
      <c r="I390" s="7" t="inlineStr">
        <is>
          <t>d5385c8859b58494541d775b8846e422ad8de48c69b520365ec325f594cf7e14</t>
        </is>
      </c>
      <c r="J390" s="7" t="inlineStr">
        <is>
          <t>protocol configs/experiments/gt-constrained-2026-10-21.yaml (first commit 2e2b01a 2026-10-21T22:31:57+05:30)</t>
        </is>
      </c>
      <c r="K390" s="7" t="inlineStr">
        <is>
          <t>local / reproducible-only (git-ignored)</t>
        </is>
      </c>
    </row>
    <row r="391">
      <c r="A391" s="7" t="inlineStr">
        <is>
          <t>cs.R0.mae30</t>
        </is>
      </c>
      <c r="B391" s="7" t="inlineStr">
        <is>
          <t>D-053 R0: 30-min personalised macro MAE</t>
        </is>
      </c>
      <c r="C391" s="8" t="n">
        <v>14.39099316616102</v>
      </c>
      <c r="D391" s="7" t="inlineStr">
        <is>
          <t>mg/dL</t>
        </is>
      </c>
      <c r="E391" s="7" t="inlineStr">
        <is>
          <t>constrained</t>
        </is>
      </c>
      <c r="F391" s="7" t="inlineStr">
        <is>
          <t>artifacts/research/gt-constrained-2026-10-21/summary.json</t>
        </is>
      </c>
      <c r="G391" s="7" t="inlineStr">
        <is>
          <t>/procedures/R0/30/mae</t>
        </is>
      </c>
      <c r="H391" s="7" t="inlineStr">
        <is>
          <t>2026-10-21T17:06:28+00:00</t>
        </is>
      </c>
      <c r="I391" s="7" t="inlineStr">
        <is>
          <t>d5385c8859b58494541d775b8846e422ad8de48c69b520365ec325f594cf7e14</t>
        </is>
      </c>
      <c r="J391" s="7" t="inlineStr">
        <is>
          <t>protocol configs/experiments/gt-constrained-2026-10-21.yaml (first commit 2e2b01a 2026-10-21T22:31:57+05:30)</t>
        </is>
      </c>
      <c r="K391" s="7" t="inlineStr">
        <is>
          <t>local / reproducible-only (git-ignored)</t>
        </is>
      </c>
    </row>
    <row r="392">
      <c r="A392" s="7" t="inlineStr">
        <is>
          <t>cs.R0.mae60</t>
        </is>
      </c>
      <c r="B392" s="7" t="inlineStr">
        <is>
          <t>D-053 R0: 60-min personalised macro MAE</t>
        </is>
      </c>
      <c r="C392" s="8" t="n">
        <v>23.19544937234511</v>
      </c>
      <c r="D392" s="7" t="inlineStr">
        <is>
          <t>mg/dL</t>
        </is>
      </c>
      <c r="E392" s="7" t="inlineStr">
        <is>
          <t>constrained</t>
        </is>
      </c>
      <c r="F392" s="7" t="inlineStr">
        <is>
          <t>artifacts/research/gt-constrained-2026-10-21/summary.json</t>
        </is>
      </c>
      <c r="G392" s="7" t="inlineStr">
        <is>
          <t>/procedures/R0/60/mae</t>
        </is>
      </c>
      <c r="H392" s="7" t="inlineStr">
        <is>
          <t>2026-10-21T17:06:28+00:00</t>
        </is>
      </c>
      <c r="I392" s="7" t="inlineStr">
        <is>
          <t>d5385c8859b58494541d775b8846e422ad8de48c69b520365ec325f594cf7e14</t>
        </is>
      </c>
      <c r="J392" s="7" t="inlineStr">
        <is>
          <t>protocol configs/experiments/gt-constrained-2026-10-21.yaml (first commit 2e2b01a 2026-10-21T22:31:57+05:30)</t>
        </is>
      </c>
      <c r="K392" s="7" t="inlineStr">
        <is>
          <t>local / reproducible-only (git-ignored)</t>
        </is>
      </c>
    </row>
    <row r="393">
      <c r="A393" s="7" t="inlineStr">
        <is>
          <t>cs.persistence.mae30</t>
        </is>
      </c>
      <c r="B393" s="7" t="inlineStr">
        <is>
          <t>D-053 persistence: 30-min personalised macro MAE</t>
        </is>
      </c>
      <c r="C393" s="8" t="n">
        <v>15.33870657820233</v>
      </c>
      <c r="D393" s="7" t="inlineStr">
        <is>
          <t>mg/dL</t>
        </is>
      </c>
      <c r="E393" s="7" t="inlineStr">
        <is>
          <t>constrained</t>
        </is>
      </c>
      <c r="F393" s="7" t="inlineStr">
        <is>
          <t>artifacts/research/gt-constrained-2026-10-21/summary.json</t>
        </is>
      </c>
      <c r="G393" s="7" t="inlineStr">
        <is>
          <t>/procedures/persistence/30/mae</t>
        </is>
      </c>
      <c r="H393" s="7" t="inlineStr">
        <is>
          <t>2026-10-21T17:06:28+00:00</t>
        </is>
      </c>
      <c r="I393" s="7" t="inlineStr">
        <is>
          <t>d5385c8859b58494541d775b8846e422ad8de48c69b520365ec325f594cf7e14</t>
        </is>
      </c>
      <c r="J393" s="7" t="inlineStr">
        <is>
          <t>protocol configs/experiments/gt-constrained-2026-10-21.yaml (first commit 2e2b01a 2026-10-21T22:31:57+05:30)</t>
        </is>
      </c>
      <c r="K393" s="7" t="inlineStr">
        <is>
          <t>local / reproducible-only (git-ignored)</t>
        </is>
      </c>
    </row>
    <row r="394">
      <c r="A394" s="7" t="inlineStr">
        <is>
          <t>cs.persistence.mae60</t>
        </is>
      </c>
      <c r="B394" s="7" t="inlineStr">
        <is>
          <t>D-053 persistence: 60-min personalised macro MAE</t>
        </is>
      </c>
      <c r="C394" s="8" t="n">
        <v>24.46718893219164</v>
      </c>
      <c r="D394" s="7" t="inlineStr">
        <is>
          <t>mg/dL</t>
        </is>
      </c>
      <c r="E394" s="7" t="inlineStr">
        <is>
          <t>constrained</t>
        </is>
      </c>
      <c r="F394" s="7" t="inlineStr">
        <is>
          <t>artifacts/research/gt-constrained-2026-10-21/summary.json</t>
        </is>
      </c>
      <c r="G394" s="7" t="inlineStr">
        <is>
          <t>/procedures/persistence/60/mae</t>
        </is>
      </c>
      <c r="H394" s="7" t="inlineStr">
        <is>
          <t>2026-10-21T17:06:28+00:00</t>
        </is>
      </c>
      <c r="I394" s="7" t="inlineStr">
        <is>
          <t>d5385c8859b58494541d775b8846e422ad8de48c69b520365ec325f594cf7e14</t>
        </is>
      </c>
      <c r="J394" s="7" t="inlineStr">
        <is>
          <t>protocol configs/experiments/gt-constrained-2026-10-21.yaml (first commit 2e2b01a 2026-10-21T22:31:57+05:30)</t>
        </is>
      </c>
      <c r="K394" s="7" t="inlineStr">
        <is>
          <t>local / reproducible-only (git-ignored)</t>
        </is>
      </c>
    </row>
    <row r="395">
      <c r="A395" s="7" t="inlineStr">
        <is>
          <t>cs.S.high60</t>
        </is>
      </c>
      <c r="B395" s="7" t="inlineStr">
        <is>
          <t>D-053 S: 60-min macro MAE on targets &gt; 180</t>
        </is>
      </c>
      <c r="C395" s="8" t="n">
        <v>39.45399006042366</v>
      </c>
      <c r="D395" s="7" t="inlineStr">
        <is>
          <t>mg/dL</t>
        </is>
      </c>
      <c r="E395" s="7" t="inlineStr">
        <is>
          <t>constrained</t>
        </is>
      </c>
      <c r="F395" s="7" t="inlineStr">
        <is>
          <t>artifacts/research/gt-constrained-2026-10-21/summary.json</t>
        </is>
      </c>
      <c r="G395" s="7" t="inlineStr">
        <is>
          <t>/procedures/S/60/mae_high</t>
        </is>
      </c>
      <c r="H395" s="7" t="inlineStr">
        <is>
          <t>2026-10-21T17:06:28+00:00</t>
        </is>
      </c>
      <c r="I395" s="7" t="inlineStr">
        <is>
          <t>d5385c8859b58494541d775b8846e422ad8de48c69b520365ec325f594cf7e14</t>
        </is>
      </c>
      <c r="J395" s="7" t="inlineStr">
        <is>
          <t>protocol configs/experiments/gt-constrained-2026-10-21.yaml (first commit 2e2b01a 2026-10-21T22:31:57+05:30)</t>
        </is>
      </c>
      <c r="K395" s="7" t="inlineStr">
        <is>
          <t>local / reproducible-only (git-ignored)</t>
        </is>
      </c>
    </row>
    <row r="396">
      <c r="A396" s="7" t="inlineStr">
        <is>
          <t>cs.R0.high60</t>
        </is>
      </c>
      <c r="B396" s="7" t="inlineStr">
        <is>
          <t>D-053 R0: 60-min macro MAE on targets &gt; 180</t>
        </is>
      </c>
      <c r="C396" s="8" t="n">
        <v>38.38815174560367</v>
      </c>
      <c r="D396" s="7" t="inlineStr">
        <is>
          <t>mg/dL</t>
        </is>
      </c>
      <c r="E396" s="7" t="inlineStr">
        <is>
          <t>constrained</t>
        </is>
      </c>
      <c r="F396" s="7" t="inlineStr">
        <is>
          <t>artifacts/research/gt-constrained-2026-10-21/summary.json</t>
        </is>
      </c>
      <c r="G396" s="7" t="inlineStr">
        <is>
          <t>/procedures/R0/60/mae_high</t>
        </is>
      </c>
      <c r="H396" s="7" t="inlineStr">
        <is>
          <t>2026-10-21T17:06:28+00:00</t>
        </is>
      </c>
      <c r="I396" s="7" t="inlineStr">
        <is>
          <t>d5385c8859b58494541d775b8846e422ad8de48c69b520365ec325f594cf7e14</t>
        </is>
      </c>
      <c r="J396" s="7" t="inlineStr">
        <is>
          <t>protocol configs/experiments/gt-constrained-2026-10-21.yaml (first commit 2e2b01a 2026-10-21T22:31:57+05:30)</t>
        </is>
      </c>
      <c r="K396" s="7" t="inlineStr">
        <is>
          <t>local / reproducible-only (git-ignored)</t>
        </is>
      </c>
    </row>
    <row r="397">
      <c r="A397" s="7" t="inlineStr">
        <is>
          <t>cs.p60.mean_diff</t>
        </is>
      </c>
      <c r="B397" s="7" t="inlineStr">
        <is>
          <t>D-053 paired S − R0 at 60 min: mean_diff</t>
        </is>
      </c>
      <c r="C397" s="8" t="n">
        <v>-1.192292318623828</v>
      </c>
      <c r="D397" s="7" t="inlineStr">
        <is>
          <t>mg/dL</t>
        </is>
      </c>
      <c r="E397" s="7" t="inlineStr">
        <is>
          <t>constrained</t>
        </is>
      </c>
      <c r="F397" s="7" t="inlineStr">
        <is>
          <t>artifacts/research/gt-constrained-2026-10-21/summary.json</t>
        </is>
      </c>
      <c r="G397" s="7" t="inlineStr">
        <is>
          <t>/paired/S|R0|final|60/mean_diff</t>
        </is>
      </c>
      <c r="H397" s="7" t="inlineStr">
        <is>
          <t>2026-10-21T17:06:28+00:00</t>
        </is>
      </c>
      <c r="I397" s="7" t="inlineStr">
        <is>
          <t>d5385c8859b58494541d775b8846e422ad8de48c69b520365ec325f594cf7e14</t>
        </is>
      </c>
      <c r="J397" s="7" t="inlineStr">
        <is>
          <t>protocol configs/experiments/gt-constrained-2026-10-21.yaml (first commit 2e2b01a 2026-10-21T22:31:57+05:30)</t>
        </is>
      </c>
      <c r="K397" s="7" t="inlineStr">
        <is>
          <t>local / reproducible-only (git-ignored)</t>
        </is>
      </c>
    </row>
    <row r="398">
      <c r="A398" s="7" t="inlineStr">
        <is>
          <t>cs.p60.lo</t>
        </is>
      </c>
      <c r="B398" s="7" t="inlineStr">
        <is>
          <t>D-053 paired S − R0 at 60 min: ci95[0]</t>
        </is>
      </c>
      <c r="C398" s="8" t="n">
        <v>-2.094684166475411</v>
      </c>
      <c r="D398" s="7" t="inlineStr">
        <is>
          <t>mg/dL</t>
        </is>
      </c>
      <c r="E398" s="7" t="inlineStr">
        <is>
          <t>constrained</t>
        </is>
      </c>
      <c r="F398" s="7" t="inlineStr">
        <is>
          <t>artifacts/research/gt-constrained-2026-10-21/summary.json</t>
        </is>
      </c>
      <c r="G398" s="7" t="inlineStr">
        <is>
          <t>/paired/S|R0|final|60/ci95[0]</t>
        </is>
      </c>
      <c r="H398" s="7" t="inlineStr">
        <is>
          <t>2026-10-21T17:06:28+00:00</t>
        </is>
      </c>
      <c r="I398" s="7" t="inlineStr">
        <is>
          <t>d5385c8859b58494541d775b8846e422ad8de48c69b520365ec325f594cf7e14</t>
        </is>
      </c>
      <c r="J398" s="7" t="inlineStr">
        <is>
          <t>protocol configs/experiments/gt-constrained-2026-10-21.yaml (first commit 2e2b01a 2026-10-21T22:31:57+05:30)</t>
        </is>
      </c>
      <c r="K398" s="7" t="inlineStr">
        <is>
          <t>local / reproducible-only (git-ignored)</t>
        </is>
      </c>
    </row>
    <row r="399">
      <c r="A399" s="7" t="inlineStr">
        <is>
          <t>cs.p60.hi</t>
        </is>
      </c>
      <c r="B399" s="7" t="inlineStr">
        <is>
          <t>D-053 paired S − R0 at 60 min: ci95[1]</t>
        </is>
      </c>
      <c r="C399" s="8" t="n">
        <v>-0.3874197620890807</v>
      </c>
      <c r="D399" s="7" t="inlineStr">
        <is>
          <t>mg/dL</t>
        </is>
      </c>
      <c r="E399" s="7" t="inlineStr">
        <is>
          <t>constrained</t>
        </is>
      </c>
      <c r="F399" s="7" t="inlineStr">
        <is>
          <t>artifacts/research/gt-constrained-2026-10-21/summary.json</t>
        </is>
      </c>
      <c r="G399" s="7" t="inlineStr">
        <is>
          <t>/paired/S|R0|final|60/ci95[1]</t>
        </is>
      </c>
      <c r="H399" s="7" t="inlineStr">
        <is>
          <t>2026-10-21T17:06:28+00:00</t>
        </is>
      </c>
      <c r="I399" s="7" t="inlineStr">
        <is>
          <t>d5385c8859b58494541d775b8846e422ad8de48c69b520365ec325f594cf7e14</t>
        </is>
      </c>
      <c r="J399" s="7" t="inlineStr">
        <is>
          <t>protocol configs/experiments/gt-constrained-2026-10-21.yaml (first commit 2e2b01a 2026-10-21T22:31:57+05:30)</t>
        </is>
      </c>
      <c r="K399" s="7" t="inlineStr">
        <is>
          <t>local / reproducible-only (git-ignored)</t>
        </is>
      </c>
    </row>
    <row r="400">
      <c r="A400" s="7" t="inlineStr">
        <is>
          <t>cs.p60.improved</t>
        </is>
      </c>
      <c r="B400" s="7" t="inlineStr">
        <is>
          <t>D-053 paired S − R0 at 60 min: improved</t>
        </is>
      </c>
      <c r="C400" s="7" t="n">
        <v>11</v>
      </c>
      <c r="D400" s="7" t="inlineStr">
        <is>
          <t>people</t>
        </is>
      </c>
      <c r="E400" s="7" t="inlineStr">
        <is>
          <t>constrained</t>
        </is>
      </c>
      <c r="F400" s="7" t="inlineStr">
        <is>
          <t>artifacts/research/gt-constrained-2026-10-21/summary.json</t>
        </is>
      </c>
      <c r="G400" s="7" t="inlineStr">
        <is>
          <t>/paired/S|R0|final|60/improved</t>
        </is>
      </c>
      <c r="H400" s="7" t="inlineStr">
        <is>
          <t>2026-10-21T17:06:28+00:00</t>
        </is>
      </c>
      <c r="I400" s="7" t="inlineStr">
        <is>
          <t>d5385c8859b58494541d775b8846e422ad8de48c69b520365ec325f594cf7e14</t>
        </is>
      </c>
      <c r="J400" s="7" t="inlineStr">
        <is>
          <t>protocol configs/experiments/gt-constrained-2026-10-21.yaml (first commit 2e2b01a 2026-10-21T22:31:57+05:30)</t>
        </is>
      </c>
      <c r="K400" s="7" t="inlineStr">
        <is>
          <t>local / reproducible-only (git-ignored)</t>
        </is>
      </c>
    </row>
    <row r="401">
      <c r="A401" s="7" t="inlineStr">
        <is>
          <t>cs.pg.mean_diff_60</t>
        </is>
      </c>
      <c r="B401" s="7" t="inlineStr">
        <is>
          <t>D-053 primary gate value (unrounded): mean_diff_60</t>
        </is>
      </c>
      <c r="C401" s="8" t="n">
        <v>-1.192292318623828</v>
      </c>
      <c r="D401" s="7" t="inlineStr">
        <is>
          <t>mg/dL</t>
        </is>
      </c>
      <c r="E401" s="7" t="inlineStr">
        <is>
          <t>constrained</t>
        </is>
      </c>
      <c r="F401" s="7" t="inlineStr">
        <is>
          <t>artifacts/research/gt-constrained-2026-10-21/summary.json</t>
        </is>
      </c>
      <c r="G401" s="7" t="inlineStr">
        <is>
          <t>/primary_gate/values/mean_diff_60</t>
        </is>
      </c>
      <c r="H401" s="7" t="inlineStr">
        <is>
          <t>2026-10-21T17:06:28+00:00</t>
        </is>
      </c>
      <c r="I401" s="7" t="inlineStr">
        <is>
          <t>d5385c8859b58494541d775b8846e422ad8de48c69b520365ec325f594cf7e14</t>
        </is>
      </c>
      <c r="J401" s="7" t="inlineStr">
        <is>
          <t>protocol configs/experiments/gt-constrained-2026-10-21.yaml (first commit 2e2b01a 2026-10-21T22:31:57+05:30)</t>
        </is>
      </c>
      <c r="K401" s="7" t="inlineStr">
        <is>
          <t>local / reproducible-only (git-ignored)</t>
        </is>
      </c>
    </row>
    <row r="402">
      <c r="A402" s="7" t="inlineStr">
        <is>
          <t>cs.pgok.mean_diff_60</t>
        </is>
      </c>
      <c r="B402" s="7" t="inlineStr">
        <is>
          <t>D-053 saved check outcome: mean_diff_60</t>
        </is>
      </c>
      <c r="C402" s="7" t="inlineStr">
        <is>
          <t>TRUE</t>
        </is>
      </c>
      <c r="D402" s="7" t="inlineStr">
        <is>
          <t>flag</t>
        </is>
      </c>
      <c r="E402" s="7" t="inlineStr">
        <is>
          <t>constrained</t>
        </is>
      </c>
      <c r="F402" s="7" t="inlineStr">
        <is>
          <t>artifacts/research/gt-constrained-2026-10-21/summary.json</t>
        </is>
      </c>
      <c r="G402" s="7" t="inlineStr">
        <is>
          <t>/primary_gate/checks/mean_diff_60</t>
        </is>
      </c>
      <c r="H402" s="7" t="inlineStr">
        <is>
          <t>2026-10-21T17:06:28+00:00</t>
        </is>
      </c>
      <c r="I402" s="7" t="inlineStr">
        <is>
          <t>d5385c8859b58494541d775b8846e422ad8de48c69b520365ec325f594cf7e14</t>
        </is>
      </c>
      <c r="J402" s="7" t="inlineStr">
        <is>
          <t>protocol configs/experiments/gt-constrained-2026-10-21.yaml (first commit 2e2b01a 2026-10-21T22:31:57+05:30)</t>
        </is>
      </c>
      <c r="K402" s="7" t="inlineStr">
        <is>
          <t>local / reproducible-only (git-ignored)</t>
        </is>
      </c>
    </row>
    <row r="403">
      <c r="A403" s="7" t="inlineStr">
        <is>
          <t>cs.pg.ci95_60_hi</t>
        </is>
      </c>
      <c r="B403" s="7" t="inlineStr">
        <is>
          <t>D-053 primary gate value (unrounded): ci95_60[1]</t>
        </is>
      </c>
      <c r="C403" s="8" t="n">
        <v>-0.3874197620890807</v>
      </c>
      <c r="D403" s="7" t="inlineStr">
        <is>
          <t>mg/dL</t>
        </is>
      </c>
      <c r="E403" s="7" t="inlineStr">
        <is>
          <t>constrained</t>
        </is>
      </c>
      <c r="F403" s="7" t="inlineStr">
        <is>
          <t>artifacts/research/gt-constrained-2026-10-21/summary.json</t>
        </is>
      </c>
      <c r="G403" s="7" t="inlineStr">
        <is>
          <t>/primary_gate/values/ci95_60[1]</t>
        </is>
      </c>
      <c r="H403" s="7" t="inlineStr">
        <is>
          <t>2026-10-21T17:06:28+00:00</t>
        </is>
      </c>
      <c r="I403" s="7" t="inlineStr">
        <is>
          <t>d5385c8859b58494541d775b8846e422ad8de48c69b520365ec325f594cf7e14</t>
        </is>
      </c>
      <c r="J403" s="7" t="inlineStr">
        <is>
          <t>protocol configs/experiments/gt-constrained-2026-10-21.yaml (first commit 2e2b01a 2026-10-21T22:31:57+05:30)</t>
        </is>
      </c>
      <c r="K403" s="7" t="inlineStr">
        <is>
          <t>local / reproducible-only (git-ignored)</t>
        </is>
      </c>
    </row>
    <row r="404">
      <c r="A404" s="7" t="inlineStr">
        <is>
          <t>cs.pgok.ci95_upper_below_0</t>
        </is>
      </c>
      <c r="B404" s="7" t="inlineStr">
        <is>
          <t>D-053 saved check outcome: ci95_60[1]</t>
        </is>
      </c>
      <c r="C404" s="7" t="inlineStr">
        <is>
          <t>TRUE</t>
        </is>
      </c>
      <c r="D404" s="7" t="inlineStr">
        <is>
          <t>flag</t>
        </is>
      </c>
      <c r="E404" s="7" t="inlineStr">
        <is>
          <t>constrained</t>
        </is>
      </c>
      <c r="F404" s="7" t="inlineStr">
        <is>
          <t>artifacts/research/gt-constrained-2026-10-21/summary.json</t>
        </is>
      </c>
      <c r="G404" s="7" t="inlineStr">
        <is>
          <t>/primary_gate/checks/ci95_upper_below_0</t>
        </is>
      </c>
      <c r="H404" s="7" t="inlineStr">
        <is>
          <t>2026-10-21T17:06:28+00:00</t>
        </is>
      </c>
      <c r="I404" s="7" t="inlineStr">
        <is>
          <t>d5385c8859b58494541d775b8846e422ad8de48c69b520365ec325f594cf7e14</t>
        </is>
      </c>
      <c r="J404" s="7" t="inlineStr">
        <is>
          <t>protocol configs/experiments/gt-constrained-2026-10-21.yaml (first commit 2e2b01a 2026-10-21T22:31:57+05:30)</t>
        </is>
      </c>
      <c r="K404" s="7" t="inlineStr">
        <is>
          <t>local / reproducible-only (git-ignored)</t>
        </is>
      </c>
    </row>
    <row r="405">
      <c r="A405" s="7" t="inlineStr">
        <is>
          <t>cs.pg.worsening_30</t>
        </is>
      </c>
      <c r="B405" s="7" t="inlineStr">
        <is>
          <t>D-053 primary gate value (unrounded): worsening_30</t>
        </is>
      </c>
      <c r="C405" s="8" t="n">
        <v>-0.4993285657306235</v>
      </c>
      <c r="D405" s="7" t="inlineStr">
        <is>
          <t>mg/dL</t>
        </is>
      </c>
      <c r="E405" s="7" t="inlineStr">
        <is>
          <t>constrained</t>
        </is>
      </c>
      <c r="F405" s="7" t="inlineStr">
        <is>
          <t>artifacts/research/gt-constrained-2026-10-21/summary.json</t>
        </is>
      </c>
      <c r="G405" s="7" t="inlineStr">
        <is>
          <t>/primary_gate/values/worsening_30</t>
        </is>
      </c>
      <c r="H405" s="7" t="inlineStr">
        <is>
          <t>2026-10-21T17:06:28+00:00</t>
        </is>
      </c>
      <c r="I405" s="7" t="inlineStr">
        <is>
          <t>d5385c8859b58494541d775b8846e422ad8de48c69b520365ec325f594cf7e14</t>
        </is>
      </c>
      <c r="J405" s="7" t="inlineStr">
        <is>
          <t>protocol configs/experiments/gt-constrained-2026-10-21.yaml (first commit 2e2b01a 2026-10-21T22:31:57+05:30)</t>
        </is>
      </c>
      <c r="K405" s="7" t="inlineStr">
        <is>
          <t>local / reproducible-only (git-ignored)</t>
        </is>
      </c>
    </row>
    <row r="406">
      <c r="A406" s="7" t="inlineStr">
        <is>
          <t>cs.pgok.worsening_30</t>
        </is>
      </c>
      <c r="B406" s="7" t="inlineStr">
        <is>
          <t>D-053 saved check outcome: worsening_30</t>
        </is>
      </c>
      <c r="C406" s="7" t="inlineStr">
        <is>
          <t>TRUE</t>
        </is>
      </c>
      <c r="D406" s="7" t="inlineStr">
        <is>
          <t>flag</t>
        </is>
      </c>
      <c r="E406" s="7" t="inlineStr">
        <is>
          <t>constrained</t>
        </is>
      </c>
      <c r="F406" s="7" t="inlineStr">
        <is>
          <t>artifacts/research/gt-constrained-2026-10-21/summary.json</t>
        </is>
      </c>
      <c r="G406" s="7" t="inlineStr">
        <is>
          <t>/primary_gate/checks/worsening_30</t>
        </is>
      </c>
      <c r="H406" s="7" t="inlineStr">
        <is>
          <t>2026-10-21T17:06:28+00:00</t>
        </is>
      </c>
      <c r="I406" s="7" t="inlineStr">
        <is>
          <t>d5385c8859b58494541d775b8846e422ad8de48c69b520365ec325f594cf7e14</t>
        </is>
      </c>
      <c r="J406" s="7" t="inlineStr">
        <is>
          <t>protocol configs/experiments/gt-constrained-2026-10-21.yaml (first commit 2e2b01a 2026-10-21T22:31:57+05:30)</t>
        </is>
      </c>
      <c r="K406" s="7" t="inlineStr">
        <is>
          <t>local / reproducible-only (git-ignored)</t>
        </is>
      </c>
    </row>
    <row r="407">
      <c r="A407" s="7" t="inlineStr">
        <is>
          <t>cs.pg.high_worsening_60</t>
        </is>
      </c>
      <c r="B407" s="7" t="inlineStr">
        <is>
          <t>D-053 primary gate value (unrounded): high_worsening_60</t>
        </is>
      </c>
      <c r="C407" s="8" t="n">
        <v>1.065838314819985</v>
      </c>
      <c r="D407" s="7" t="inlineStr">
        <is>
          <t>mg/dL</t>
        </is>
      </c>
      <c r="E407" s="7" t="inlineStr">
        <is>
          <t>constrained</t>
        </is>
      </c>
      <c r="F407" s="7" t="inlineStr">
        <is>
          <t>artifacts/research/gt-constrained-2026-10-21/summary.json</t>
        </is>
      </c>
      <c r="G407" s="7" t="inlineStr">
        <is>
          <t>/primary_gate/values/high_worsening_60</t>
        </is>
      </c>
      <c r="H407" s="7" t="inlineStr">
        <is>
          <t>2026-10-21T17:06:28+00:00</t>
        </is>
      </c>
      <c r="I407" s="7" t="inlineStr">
        <is>
          <t>d5385c8859b58494541d775b8846e422ad8de48c69b520365ec325f594cf7e14</t>
        </is>
      </c>
      <c r="J407" s="7" t="inlineStr">
        <is>
          <t>protocol configs/experiments/gt-constrained-2026-10-21.yaml (first commit 2e2b01a 2026-10-21T22:31:57+05:30)</t>
        </is>
      </c>
      <c r="K407" s="7" t="inlineStr">
        <is>
          <t>local / reproducible-only (git-ignored)</t>
        </is>
      </c>
    </row>
    <row r="408">
      <c r="A408" s="7" t="inlineStr">
        <is>
          <t>cs.pgok.high_worsening_60</t>
        </is>
      </c>
      <c r="B408" s="7" t="inlineStr">
        <is>
          <t>D-053 saved check outcome: high_worsening_60</t>
        </is>
      </c>
      <c r="C408" s="7" t="inlineStr">
        <is>
          <t>FALSE</t>
        </is>
      </c>
      <c r="D408" s="7" t="inlineStr">
        <is>
          <t>flag</t>
        </is>
      </c>
      <c r="E408" s="7" t="inlineStr">
        <is>
          <t>constrained</t>
        </is>
      </c>
      <c r="F408" s="7" t="inlineStr">
        <is>
          <t>artifacts/research/gt-constrained-2026-10-21/summary.json</t>
        </is>
      </c>
      <c r="G408" s="7" t="inlineStr">
        <is>
          <t>/primary_gate/checks/high_worsening_60</t>
        </is>
      </c>
      <c r="H408" s="7" t="inlineStr">
        <is>
          <t>2026-10-21T17:06:28+00:00</t>
        </is>
      </c>
      <c r="I408" s="7" t="inlineStr">
        <is>
          <t>d5385c8859b58494541d775b8846e422ad8de48c69b520365ec325f594cf7e14</t>
        </is>
      </c>
      <c r="J408" s="7" t="inlineStr">
        <is>
          <t>protocol configs/experiments/gt-constrained-2026-10-21.yaml (first commit 2e2b01a 2026-10-21T22:31:57+05:30)</t>
        </is>
      </c>
      <c r="K408" s="7" t="inlineStr">
        <is>
          <t>local / reproducible-only (git-ignored)</t>
        </is>
      </c>
    </row>
    <row r="409">
      <c r="A409" s="7" t="inlineStr">
        <is>
          <t>cs.pg.availability_drop_points</t>
        </is>
      </c>
      <c r="B409" s="7" t="inlineStr">
        <is>
          <t>D-053 primary gate value (unrounded): availability_drop_points</t>
        </is>
      </c>
      <c r="C409" s="8" t="n">
        <v>0</v>
      </c>
      <c r="D409" s="7" t="inlineStr">
        <is>
          <t>points</t>
        </is>
      </c>
      <c r="E409" s="7" t="inlineStr">
        <is>
          <t>constrained</t>
        </is>
      </c>
      <c r="F409" s="7" t="inlineStr">
        <is>
          <t>artifacts/research/gt-constrained-2026-10-21/summary.json</t>
        </is>
      </c>
      <c r="G409" s="7" t="inlineStr">
        <is>
          <t>/primary_gate/values/availability_drop_points</t>
        </is>
      </c>
      <c r="H409" s="7" t="inlineStr">
        <is>
          <t>2026-10-21T17:06:28+00:00</t>
        </is>
      </c>
      <c r="I409" s="7" t="inlineStr">
        <is>
          <t>d5385c8859b58494541d775b8846e422ad8de48c69b520365ec325f594cf7e14</t>
        </is>
      </c>
      <c r="J409" s="7" t="inlineStr">
        <is>
          <t>protocol configs/experiments/gt-constrained-2026-10-21.yaml (first commit 2e2b01a 2026-10-21T22:31:57+05:30)</t>
        </is>
      </c>
      <c r="K409" s="7" t="inlineStr">
        <is>
          <t>local / reproducible-only (git-ignored)</t>
        </is>
      </c>
    </row>
    <row r="410">
      <c r="A410" s="7" t="inlineStr">
        <is>
          <t>cs.pgok.availability_drop</t>
        </is>
      </c>
      <c r="B410" s="7" t="inlineStr">
        <is>
          <t>D-053 saved check outcome: availability_drop_points</t>
        </is>
      </c>
      <c r="C410" s="7" t="inlineStr">
        <is>
          <t>TRUE</t>
        </is>
      </c>
      <c r="D410" s="7" t="inlineStr">
        <is>
          <t>flag</t>
        </is>
      </c>
      <c r="E410" s="7" t="inlineStr">
        <is>
          <t>constrained</t>
        </is>
      </c>
      <c r="F410" s="7" t="inlineStr">
        <is>
          <t>artifacts/research/gt-constrained-2026-10-21/summary.json</t>
        </is>
      </c>
      <c r="G410" s="7" t="inlineStr">
        <is>
          <t>/primary_gate/checks/availability_drop</t>
        </is>
      </c>
      <c r="H410" s="7" t="inlineStr">
        <is>
          <t>2026-10-21T17:06:28+00:00</t>
        </is>
      </c>
      <c r="I410" s="7" t="inlineStr">
        <is>
          <t>d5385c8859b58494541d775b8846e422ad8de48c69b520365ec325f594cf7e14</t>
        </is>
      </c>
      <c r="J410" s="7" t="inlineStr">
        <is>
          <t>protocol configs/experiments/gt-constrained-2026-10-21.yaml (first commit 2e2b01a 2026-10-21T22:31:57+05:30)</t>
        </is>
      </c>
      <c r="K410" s="7" t="inlineStr">
        <is>
          <t>local / reproducible-only (git-ignored)</t>
        </is>
      </c>
    </row>
    <row r="411">
      <c r="A411" s="7" t="inlineStr">
        <is>
          <t>cs.pg.passed</t>
        </is>
      </c>
      <c r="B411" s="7" t="inlineStr">
        <is>
          <t>D-053 saved primary gate outcome</t>
        </is>
      </c>
      <c r="C411" s="7" t="inlineStr">
        <is>
          <t>FALSE</t>
        </is>
      </c>
      <c r="D411" s="7" t="inlineStr">
        <is>
          <t>flag</t>
        </is>
      </c>
      <c r="E411" s="7" t="inlineStr">
        <is>
          <t>constrained</t>
        </is>
      </c>
      <c r="F411" s="7" t="inlineStr">
        <is>
          <t>artifacts/research/gt-constrained-2026-10-21/summary.json</t>
        </is>
      </c>
      <c r="G411" s="7" t="inlineStr">
        <is>
          <t>/primary_gate/passed</t>
        </is>
      </c>
      <c r="H411" s="7" t="inlineStr">
        <is>
          <t>2026-10-21T17:06:28+00:00</t>
        </is>
      </c>
      <c r="I411" s="7" t="inlineStr">
        <is>
          <t>d5385c8859b58494541d775b8846e422ad8de48c69b520365ec325f594cf7e14</t>
        </is>
      </c>
      <c r="J411" s="7" t="inlineStr">
        <is>
          <t>protocol configs/experiments/gt-constrained-2026-10-21.yaml (first commit 2e2b01a 2026-10-21T22:31:57+05:30)</t>
        </is>
      </c>
      <c r="K411" s="7" t="inlineStr">
        <is>
          <t>local / reproducible-only (git-ignored)</t>
        </is>
      </c>
    </row>
    <row r="412">
      <c r="A412" s="7" t="inlineStr">
        <is>
          <t>cs.w.S.fa_day</t>
        </is>
      </c>
      <c r="B412" s="7" t="inlineStr">
        <is>
          <t>D-053 warning S: fa_day</t>
        </is>
      </c>
      <c r="C412" s="8" t="n">
        <v>1.151884087135886</v>
      </c>
      <c r="D412" s="7" t="inlineStr">
        <is>
          <t>per observed day</t>
        </is>
      </c>
      <c r="E412" s="7" t="inlineStr">
        <is>
          <t>constrained</t>
        </is>
      </c>
      <c r="F412" s="7" t="inlineStr">
        <is>
          <t>artifacts/research/gt-constrained-2026-10-21/summary.json</t>
        </is>
      </c>
      <c r="G412" s="7" t="inlineStr">
        <is>
          <t>/warnings/S/fa_day</t>
        </is>
      </c>
      <c r="H412" s="7" t="inlineStr">
        <is>
          <t>2026-10-21T17:06:28+00:00</t>
        </is>
      </c>
      <c r="I412" s="7" t="inlineStr">
        <is>
          <t>d5385c8859b58494541d775b8846e422ad8de48c69b520365ec325f594cf7e14</t>
        </is>
      </c>
      <c r="J412" s="7" t="inlineStr">
        <is>
          <t>protocol configs/experiments/gt-constrained-2026-10-21.yaml (first commit 2e2b01a 2026-10-21T22:31:57+05:30)</t>
        </is>
      </c>
      <c r="K412" s="7" t="inlineStr">
        <is>
          <t>local / reproducible-only (git-ignored)</t>
        </is>
      </c>
    </row>
    <row r="413">
      <c r="A413" s="7" t="inlineStr">
        <is>
          <t>cs.w.S.share30</t>
        </is>
      </c>
      <c r="B413" s="7" t="inlineStr">
        <is>
          <t>D-053 warning S: share30</t>
        </is>
      </c>
      <c r="C413" s="8" t="n">
        <v>0.2188449848024316</v>
      </c>
      <c r="D413" s="7" t="inlineStr">
        <is>
          <t>share</t>
        </is>
      </c>
      <c r="E413" s="7" t="inlineStr">
        <is>
          <t>constrained</t>
        </is>
      </c>
      <c r="F413" s="7" t="inlineStr">
        <is>
          <t>artifacts/research/gt-constrained-2026-10-21/summary.json</t>
        </is>
      </c>
      <c r="G413" s="7" t="inlineStr">
        <is>
          <t>/warnings/S/share30</t>
        </is>
      </c>
      <c r="H413" s="7" t="inlineStr">
        <is>
          <t>2026-10-21T17:06:28+00:00</t>
        </is>
      </c>
      <c r="I413" s="7" t="inlineStr">
        <is>
          <t>d5385c8859b58494541d775b8846e422ad8de48c69b520365ec325f594cf7e14</t>
        </is>
      </c>
      <c r="J413" s="7" t="inlineStr">
        <is>
          <t>protocol configs/experiments/gt-constrained-2026-10-21.yaml (first commit 2e2b01a 2026-10-21T22:31:57+05:30)</t>
        </is>
      </c>
      <c r="K413" s="7" t="inlineStr">
        <is>
          <t>local / reproducible-only (git-ignored)</t>
        </is>
      </c>
    </row>
    <row r="414">
      <c r="A414" s="7" t="inlineStr">
        <is>
          <t>cs.w.S.tiw</t>
        </is>
      </c>
      <c r="B414" s="7" t="inlineStr">
        <is>
          <t>D-053 warning S: tiw</t>
        </is>
      </c>
      <c r="C414" s="8" t="n">
        <v>0.06070188970304666</v>
      </c>
      <c r="D414" s="7" t="inlineStr">
        <is>
          <t>share</t>
        </is>
      </c>
      <c r="E414" s="7" t="inlineStr">
        <is>
          <t>constrained</t>
        </is>
      </c>
      <c r="F414" s="7" t="inlineStr">
        <is>
          <t>artifacts/research/gt-constrained-2026-10-21/summary.json</t>
        </is>
      </c>
      <c r="G414" s="7" t="inlineStr">
        <is>
          <t>/warnings/S/tiw</t>
        </is>
      </c>
      <c r="H414" s="7" t="inlineStr">
        <is>
          <t>2026-10-21T17:06:28+00:00</t>
        </is>
      </c>
      <c r="I414" s="7" t="inlineStr">
        <is>
          <t>d5385c8859b58494541d775b8846e422ad8de48c69b520365ec325f594cf7e14</t>
        </is>
      </c>
      <c r="J414" s="7" t="inlineStr">
        <is>
          <t>protocol configs/experiments/gt-constrained-2026-10-21.yaml (first commit 2e2b01a 2026-10-21T22:31:57+05:30)</t>
        </is>
      </c>
      <c r="K414" s="7" t="inlineStr">
        <is>
          <t>local / reproducible-only (git-ignored)</t>
        </is>
      </c>
    </row>
    <row r="415">
      <c r="A415" s="7" t="inlineStr">
        <is>
          <t>cs.w.S.false_alarms</t>
        </is>
      </c>
      <c r="B415" s="7" t="inlineStr">
        <is>
          <t>D-053 warning S: false_alarms</t>
        </is>
      </c>
      <c r="C415" s="7" t="n">
        <v>159</v>
      </c>
      <c r="D415" s="7" t="inlineStr">
        <is>
          <t>episodes</t>
        </is>
      </c>
      <c r="E415" s="7" t="inlineStr">
        <is>
          <t>constrained</t>
        </is>
      </c>
      <c r="F415" s="7" t="inlineStr">
        <is>
          <t>artifacts/research/gt-constrained-2026-10-21/summary.json</t>
        </is>
      </c>
      <c r="G415" s="7" t="inlineStr">
        <is>
          <t>/warnings/S/false_alarms</t>
        </is>
      </c>
      <c r="H415" s="7" t="inlineStr">
        <is>
          <t>2026-10-21T17:06:28+00:00</t>
        </is>
      </c>
      <c r="I415" s="7" t="inlineStr">
        <is>
          <t>d5385c8859b58494541d775b8846e422ad8de48c69b520365ec325f594cf7e14</t>
        </is>
      </c>
      <c r="J415" s="7" t="inlineStr">
        <is>
          <t>protocol configs/experiments/gt-constrained-2026-10-21.yaml (first commit 2e2b01a 2026-10-21T22:31:57+05:30)</t>
        </is>
      </c>
      <c r="K415" s="7" t="inlineStr">
        <is>
          <t>local / reproducible-only (git-ignored)</t>
        </is>
      </c>
    </row>
    <row r="416">
      <c r="A416" s="7" t="inlineStr">
        <is>
          <t>cs.w.S.observed_days</t>
        </is>
      </c>
      <c r="B416" s="7" t="inlineStr">
        <is>
          <t>D-053 warning S: observed_days</t>
        </is>
      </c>
      <c r="C416" s="8" t="n">
        <v>138.0347222222222</v>
      </c>
      <c r="D416" s="7" t="inlineStr">
        <is>
          <t>patient-days</t>
        </is>
      </c>
      <c r="E416" s="7" t="inlineStr">
        <is>
          <t>constrained</t>
        </is>
      </c>
      <c r="F416" s="7" t="inlineStr">
        <is>
          <t>artifacts/research/gt-constrained-2026-10-21/summary.json</t>
        </is>
      </c>
      <c r="G416" s="7" t="inlineStr">
        <is>
          <t>/warnings/S/observed_days</t>
        </is>
      </c>
      <c r="H416" s="7" t="inlineStr">
        <is>
          <t>2026-10-21T17:06:28+00:00</t>
        </is>
      </c>
      <c r="I416" s="7" t="inlineStr">
        <is>
          <t>d5385c8859b58494541d775b8846e422ad8de48c69b520365ec325f594cf7e14</t>
        </is>
      </c>
      <c r="J416" s="7" t="inlineStr">
        <is>
          <t>protocol configs/experiments/gt-constrained-2026-10-21.yaml (first commit 2e2b01a 2026-10-21T22:31:57+05:30)</t>
        </is>
      </c>
      <c r="K416" s="7" t="inlineStr">
        <is>
          <t>local / reproducible-only (git-ignored)</t>
        </is>
      </c>
    </row>
    <row r="417">
      <c r="A417" s="7" t="inlineStr">
        <is>
          <t>cs.w.S.onsets</t>
        </is>
      </c>
      <c r="B417" s="7" t="inlineStr">
        <is>
          <t>D-053 warning S: onsets</t>
        </is>
      </c>
      <c r="C417" s="7" t="n">
        <v>329</v>
      </c>
      <c r="D417" s="7" t="inlineStr">
        <is>
          <t>onsets</t>
        </is>
      </c>
      <c r="E417" s="7" t="inlineStr">
        <is>
          <t>constrained</t>
        </is>
      </c>
      <c r="F417" s="7" t="inlineStr">
        <is>
          <t>artifacts/research/gt-constrained-2026-10-21/summary.json</t>
        </is>
      </c>
      <c r="G417" s="7" t="inlineStr">
        <is>
          <t>/warnings/S/onsets</t>
        </is>
      </c>
      <c r="H417" s="7" t="inlineStr">
        <is>
          <t>2026-10-21T17:06:28+00:00</t>
        </is>
      </c>
      <c r="I417" s="7" t="inlineStr">
        <is>
          <t>d5385c8859b58494541d775b8846e422ad8de48c69b520365ec325f594cf7e14</t>
        </is>
      </c>
      <c r="J417" s="7" t="inlineStr">
        <is>
          <t>protocol configs/experiments/gt-constrained-2026-10-21.yaml (first commit 2e2b01a 2026-10-21T22:31:57+05:30)</t>
        </is>
      </c>
      <c r="K417" s="7" t="inlineStr">
        <is>
          <t>local / reproducible-only (git-ignored)</t>
        </is>
      </c>
    </row>
    <row r="418">
      <c r="A418" s="7" t="inlineStr">
        <is>
          <t>cs.w.R0P.fa_day</t>
        </is>
      </c>
      <c r="B418" s="7" t="inlineStr">
        <is>
          <t>D-053 warning R0-P: fa_day</t>
        </is>
      </c>
      <c r="C418" s="8" t="n">
        <v>1.195351411178749</v>
      </c>
      <c r="D418" s="7" t="inlineStr">
        <is>
          <t>per observed day</t>
        </is>
      </c>
      <c r="E418" s="7" t="inlineStr">
        <is>
          <t>constrained</t>
        </is>
      </c>
      <c r="F418" s="7" t="inlineStr">
        <is>
          <t>artifacts/research/gt-constrained-2026-10-21/summary.json</t>
        </is>
      </c>
      <c r="G418" s="7" t="inlineStr">
        <is>
          <t>/warnings/R0-P/fa_day</t>
        </is>
      </c>
      <c r="H418" s="7" t="inlineStr">
        <is>
          <t>2026-10-21T17:06:28+00:00</t>
        </is>
      </c>
      <c r="I418" s="7" t="inlineStr">
        <is>
          <t>d5385c8859b58494541d775b8846e422ad8de48c69b520365ec325f594cf7e14</t>
        </is>
      </c>
      <c r="J418" s="7" t="inlineStr">
        <is>
          <t>protocol configs/experiments/gt-constrained-2026-10-21.yaml (first commit 2e2b01a 2026-10-21T22:31:57+05:30)</t>
        </is>
      </c>
      <c r="K418" s="7" t="inlineStr">
        <is>
          <t>local / reproducible-only (git-ignored)</t>
        </is>
      </c>
    </row>
    <row r="419">
      <c r="A419" s="7" t="inlineStr">
        <is>
          <t>cs.w.R0P.share30</t>
        </is>
      </c>
      <c r="B419" s="7" t="inlineStr">
        <is>
          <t>D-053 warning R0-P: share30</t>
        </is>
      </c>
      <c r="C419" s="8" t="n">
        <v>0.1641337386018237</v>
      </c>
      <c r="D419" s="7" t="inlineStr">
        <is>
          <t>share</t>
        </is>
      </c>
      <c r="E419" s="7" t="inlineStr">
        <is>
          <t>constrained</t>
        </is>
      </c>
      <c r="F419" s="7" t="inlineStr">
        <is>
          <t>artifacts/research/gt-constrained-2026-10-21/summary.json</t>
        </is>
      </c>
      <c r="G419" s="7" t="inlineStr">
        <is>
          <t>/warnings/R0-P/share30</t>
        </is>
      </c>
      <c r="H419" s="7" t="inlineStr">
        <is>
          <t>2026-10-21T17:06:28+00:00</t>
        </is>
      </c>
      <c r="I419" s="7" t="inlineStr">
        <is>
          <t>d5385c8859b58494541d775b8846e422ad8de48c69b520365ec325f594cf7e14</t>
        </is>
      </c>
      <c r="J419" s="7" t="inlineStr">
        <is>
          <t>protocol configs/experiments/gt-constrained-2026-10-21.yaml (first commit 2e2b01a 2026-10-21T22:31:57+05:30)</t>
        </is>
      </c>
      <c r="K419" s="7" t="inlineStr">
        <is>
          <t>local / reproducible-only (git-ignored)</t>
        </is>
      </c>
    </row>
    <row r="420">
      <c r="A420" s="7" t="inlineStr">
        <is>
          <t>cs.w.R0P.tiw</t>
        </is>
      </c>
      <c r="B420" s="7" t="inlineStr">
        <is>
          <t>D-053 warning R0-P: tiw</t>
        </is>
      </c>
      <c r="C420" s="8" t="n">
        <v>0.05009641342074816</v>
      </c>
      <c r="D420" s="7" t="inlineStr">
        <is>
          <t>share</t>
        </is>
      </c>
      <c r="E420" s="7" t="inlineStr">
        <is>
          <t>constrained</t>
        </is>
      </c>
      <c r="F420" s="7" t="inlineStr">
        <is>
          <t>artifacts/research/gt-constrained-2026-10-21/summary.json</t>
        </is>
      </c>
      <c r="G420" s="7" t="inlineStr">
        <is>
          <t>/warnings/R0-P/tiw</t>
        </is>
      </c>
      <c r="H420" s="7" t="inlineStr">
        <is>
          <t>2026-10-21T17:06:28+00:00</t>
        </is>
      </c>
      <c r="I420" s="7" t="inlineStr">
        <is>
          <t>d5385c8859b58494541d775b8846e422ad8de48c69b520365ec325f594cf7e14</t>
        </is>
      </c>
      <c r="J420" s="7" t="inlineStr">
        <is>
          <t>protocol configs/experiments/gt-constrained-2026-10-21.yaml (first commit 2e2b01a 2026-10-21T22:31:57+05:30)</t>
        </is>
      </c>
      <c r="K420" s="7" t="inlineStr">
        <is>
          <t>local / reproducible-only (git-ignored)</t>
        </is>
      </c>
    </row>
    <row r="421">
      <c r="A421" s="7" t="inlineStr">
        <is>
          <t>cs.w.R0P.false_alarms</t>
        </is>
      </c>
      <c r="B421" s="7" t="inlineStr">
        <is>
          <t>D-053 warning R0-P: false_alarms</t>
        </is>
      </c>
      <c r="C421" s="7" t="n">
        <v>165</v>
      </c>
      <c r="D421" s="7" t="inlineStr">
        <is>
          <t>episodes</t>
        </is>
      </c>
      <c r="E421" s="7" t="inlineStr">
        <is>
          <t>constrained</t>
        </is>
      </c>
      <c r="F421" s="7" t="inlineStr">
        <is>
          <t>artifacts/research/gt-constrained-2026-10-21/summary.json</t>
        </is>
      </c>
      <c r="G421" s="7" t="inlineStr">
        <is>
          <t>/warnings/R0-P/false_alarms</t>
        </is>
      </c>
      <c r="H421" s="7" t="inlineStr">
        <is>
          <t>2026-10-21T17:06:28+00:00</t>
        </is>
      </c>
      <c r="I421" s="7" t="inlineStr">
        <is>
          <t>d5385c8859b58494541d775b8846e422ad8de48c69b520365ec325f594cf7e14</t>
        </is>
      </c>
      <c r="J421" s="7" t="inlineStr">
        <is>
          <t>protocol configs/experiments/gt-constrained-2026-10-21.yaml (first commit 2e2b01a 2026-10-21T22:31:57+05:30)</t>
        </is>
      </c>
      <c r="K421" s="7" t="inlineStr">
        <is>
          <t>local / reproducible-only (git-ignored)</t>
        </is>
      </c>
    </row>
    <row r="422">
      <c r="A422" s="7" t="inlineStr">
        <is>
          <t>cs.w.R0P.observed_days</t>
        </is>
      </c>
      <c r="B422" s="7" t="inlineStr">
        <is>
          <t>D-053 warning R0-P: observed_days</t>
        </is>
      </c>
      <c r="C422" s="8" t="n">
        <v>138.0347222222222</v>
      </c>
      <c r="D422" s="7" t="inlineStr">
        <is>
          <t>patient-days</t>
        </is>
      </c>
      <c r="E422" s="7" t="inlineStr">
        <is>
          <t>constrained</t>
        </is>
      </c>
      <c r="F422" s="7" t="inlineStr">
        <is>
          <t>artifacts/research/gt-constrained-2026-10-21/summary.json</t>
        </is>
      </c>
      <c r="G422" s="7" t="inlineStr">
        <is>
          <t>/warnings/R0-P/observed_days</t>
        </is>
      </c>
      <c r="H422" s="7" t="inlineStr">
        <is>
          <t>2026-10-21T17:06:28+00:00</t>
        </is>
      </c>
      <c r="I422" s="7" t="inlineStr">
        <is>
          <t>d5385c8859b58494541d775b8846e422ad8de48c69b520365ec325f594cf7e14</t>
        </is>
      </c>
      <c r="J422" s="7" t="inlineStr">
        <is>
          <t>protocol configs/experiments/gt-constrained-2026-10-21.yaml (first commit 2e2b01a 2026-10-21T22:31:57+05:30)</t>
        </is>
      </c>
      <c r="K422" s="7" t="inlineStr">
        <is>
          <t>local / reproducible-only (git-ignored)</t>
        </is>
      </c>
    </row>
    <row r="423">
      <c r="A423" s="7" t="inlineStr">
        <is>
          <t>cs.w.R0P.onsets</t>
        </is>
      </c>
      <c r="B423" s="7" t="inlineStr">
        <is>
          <t>D-053 warning R0-P: onsets</t>
        </is>
      </c>
      <c r="C423" s="7" t="n">
        <v>329</v>
      </c>
      <c r="D423" s="7" t="inlineStr">
        <is>
          <t>onsets</t>
        </is>
      </c>
      <c r="E423" s="7" t="inlineStr">
        <is>
          <t>constrained</t>
        </is>
      </c>
      <c r="F423" s="7" t="inlineStr">
        <is>
          <t>artifacts/research/gt-constrained-2026-10-21/summary.json</t>
        </is>
      </c>
      <c r="G423" s="7" t="inlineStr">
        <is>
          <t>/warnings/R0-P/onsets</t>
        </is>
      </c>
      <c r="H423" s="7" t="inlineStr">
        <is>
          <t>2026-10-21T17:06:28+00:00</t>
        </is>
      </c>
      <c r="I423" s="7" t="inlineStr">
        <is>
          <t>d5385c8859b58494541d775b8846e422ad8de48c69b520365ec325f594cf7e14</t>
        </is>
      </c>
      <c r="J423" s="7" t="inlineStr">
        <is>
          <t>protocol configs/experiments/gt-constrained-2026-10-21.yaml (first commit 2e2b01a 2026-10-21T22:31:57+05:30)</t>
        </is>
      </c>
      <c r="K423" s="7" t="inlineStr">
        <is>
          <t>local / reproducible-only (git-ignored)</t>
        </is>
      </c>
    </row>
    <row r="424">
      <c r="A424" s="7" t="inlineStr">
        <is>
          <t>cs.op.passed</t>
        </is>
      </c>
      <c r="B424" s="7" t="inlineStr">
        <is>
          <t>D-053 saved operational gate outcome</t>
        </is>
      </c>
      <c r="C424" s="7" t="inlineStr">
        <is>
          <t>TRUE</t>
        </is>
      </c>
      <c r="D424" s="7" t="inlineStr">
        <is>
          <t>flag</t>
        </is>
      </c>
      <c r="E424" s="7" t="inlineStr">
        <is>
          <t>constrained</t>
        </is>
      </c>
      <c r="F424" s="7" t="inlineStr">
        <is>
          <t>artifacts/research/gt-constrained-2026-10-21/summary.json</t>
        </is>
      </c>
      <c r="G424" s="7" t="inlineStr">
        <is>
          <t>/operational_gate/passed</t>
        </is>
      </c>
      <c r="H424" s="7" t="inlineStr">
        <is>
          <t>2026-10-21T17:06:28+00:00</t>
        </is>
      </c>
      <c r="I424" s="7" t="inlineStr">
        <is>
          <t>d5385c8859b58494541d775b8846e422ad8de48c69b520365ec325f594cf7e14</t>
        </is>
      </c>
      <c r="J424" s="7" t="inlineStr">
        <is>
          <t>protocol configs/experiments/gt-constrained-2026-10-21.yaml (first commit 2e2b01a 2026-10-21T22:31:57+05:30)</t>
        </is>
      </c>
      <c r="K424" s="7" t="inlineStr">
        <is>
          <t>local / reproducible-only (git-ignored)</t>
        </is>
      </c>
    </row>
    <row r="425">
      <c r="A425" s="7" t="inlineStr">
        <is>
          <t>cs.rg.passed</t>
        </is>
      </c>
      <c r="B425" s="7" t="inlineStr">
        <is>
          <t>D-053 saved range gate outcome</t>
        </is>
      </c>
      <c r="C425" s="7" t="inlineStr">
        <is>
          <t>TRUE</t>
        </is>
      </c>
      <c r="D425" s="7" t="inlineStr">
        <is>
          <t>flag</t>
        </is>
      </c>
      <c r="E425" s="7" t="inlineStr">
        <is>
          <t>constrained</t>
        </is>
      </c>
      <c r="F425" s="7" t="inlineStr">
        <is>
          <t>artifacts/research/gt-constrained-2026-10-21/summary.json</t>
        </is>
      </c>
      <c r="G425" s="7" t="inlineStr">
        <is>
          <t>/range_gate/passed</t>
        </is>
      </c>
      <c r="H425" s="7" t="inlineStr">
        <is>
          <t>2026-10-21T17:06:28+00:00</t>
        </is>
      </c>
      <c r="I425" s="7" t="inlineStr">
        <is>
          <t>d5385c8859b58494541d775b8846e422ad8de48c69b520365ec325f594cf7e14</t>
        </is>
      </c>
      <c r="J425" s="7" t="inlineStr">
        <is>
          <t>protocol configs/experiments/gt-constrained-2026-10-21.yaml (first commit 2e2b01a 2026-10-21T22:31:57+05:30)</t>
        </is>
      </c>
      <c r="K425" s="7" t="inlineStr">
        <is>
          <t>local / reproducible-only (git-ignored)</t>
        </is>
      </c>
    </row>
    <row r="426">
      <c r="A426" s="7" t="inlineStr">
        <is>
          <t>cs.all_passed</t>
        </is>
      </c>
      <c r="B426" s="7" t="inlineStr">
        <is>
          <t>D-053 saved all-gates outcome</t>
        </is>
      </c>
      <c r="C426" s="7" t="inlineStr">
        <is>
          <t>FALSE</t>
        </is>
      </c>
      <c r="D426" s="7" t="inlineStr">
        <is>
          <t>flag</t>
        </is>
      </c>
      <c r="E426" s="7" t="inlineStr">
        <is>
          <t>constrained</t>
        </is>
      </c>
      <c r="F426" s="7" t="inlineStr">
        <is>
          <t>artifacts/research/gt-constrained-2026-10-21/summary.json</t>
        </is>
      </c>
      <c r="G426" s="7" t="inlineStr">
        <is>
          <t>/all_gates_passed</t>
        </is>
      </c>
      <c r="H426" s="7" t="inlineStr">
        <is>
          <t>2026-10-21T17:06:28+00:00</t>
        </is>
      </c>
      <c r="I426" s="7" t="inlineStr">
        <is>
          <t>d5385c8859b58494541d775b8846e422ad8de48c69b520365ec325f594cf7e14</t>
        </is>
      </c>
      <c r="J426" s="7" t="inlineStr">
        <is>
          <t>protocol configs/experiments/gt-constrained-2026-10-21.yaml (first commit 2e2b01a 2026-10-21T22:31:57+05:30)</t>
        </is>
      </c>
      <c r="K426" s="7" t="inlineStr">
        <is>
          <t>local / reproducible-only (git-ignored)</t>
        </is>
      </c>
    </row>
    <row r="427">
      <c r="A427" s="7" t="inlineStr">
        <is>
          <t>cs.cov30</t>
        </is>
      </c>
      <c r="B427" s="7" t="inlineStr">
        <is>
          <t>D-053 S exact-predictor 80 % range coverage, 30 min</t>
        </is>
      </c>
      <c r="C427" s="8" t="n">
        <v>0.7942793724461484</v>
      </c>
      <c r="D427" s="7" t="inlineStr">
        <is>
          <t>share</t>
        </is>
      </c>
      <c r="E427" s="7" t="inlineStr">
        <is>
          <t>constrained</t>
        </is>
      </c>
      <c r="F427" s="7" t="inlineStr">
        <is>
          <t>artifacts/research/gt-constrained-2026-10-21/summary.json</t>
        </is>
      </c>
      <c r="G427" s="7" t="inlineStr">
        <is>
          <t>/ranges/S/30/coverage</t>
        </is>
      </c>
      <c r="H427" s="7" t="inlineStr">
        <is>
          <t>2026-10-21T17:06:28+00:00</t>
        </is>
      </c>
      <c r="I427" s="7" t="inlineStr">
        <is>
          <t>d5385c8859b58494541d775b8846e422ad8de48c69b520365ec325f594cf7e14</t>
        </is>
      </c>
      <c r="J427" s="7" t="inlineStr">
        <is>
          <t>protocol configs/experiments/gt-constrained-2026-10-21.yaml (first commit 2e2b01a 2026-10-21T22:31:57+05:30)</t>
        </is>
      </c>
      <c r="K427" s="7" t="inlineStr">
        <is>
          <t>local / reproducible-only (git-ignored)</t>
        </is>
      </c>
    </row>
    <row r="428">
      <c r="A428" s="7" t="inlineStr">
        <is>
          <t>cs.cov60</t>
        </is>
      </c>
      <c r="B428" s="7" t="inlineStr">
        <is>
          <t>D-053 S exact-predictor 80 % range coverage, 60 min</t>
        </is>
      </c>
      <c r="C428" s="8" t="n">
        <v>0.7726089045078756</v>
      </c>
      <c r="D428" s="7" t="inlineStr">
        <is>
          <t>share</t>
        </is>
      </c>
      <c r="E428" s="7" t="inlineStr">
        <is>
          <t>constrained</t>
        </is>
      </c>
      <c r="F428" s="7" t="inlineStr">
        <is>
          <t>artifacts/research/gt-constrained-2026-10-21/summary.json</t>
        </is>
      </c>
      <c r="G428" s="7" t="inlineStr">
        <is>
          <t>/ranges/S/60/coverage</t>
        </is>
      </c>
      <c r="H428" s="7" t="inlineStr">
        <is>
          <t>2026-10-21T17:06:28+00:00</t>
        </is>
      </c>
      <c r="I428" s="7" t="inlineStr">
        <is>
          <t>d5385c8859b58494541d775b8846e422ad8de48c69b520365ec325f594cf7e14</t>
        </is>
      </c>
      <c r="J428" s="7" t="inlineStr">
        <is>
          <t>protocol configs/experiments/gt-constrained-2026-10-21.yaml (first commit 2e2b01a 2026-10-21T22:31:57+05:30)</t>
        </is>
      </c>
      <c r="K428" s="7" t="inlineStr">
        <is>
          <t>local / reproducible-only (git-ignored)</t>
        </is>
      </c>
    </row>
    <row r="429">
      <c r="A429" s="7" t="inlineStr">
        <is>
          <t>cs.started_at</t>
        </is>
      </c>
      <c r="B429" s="7" t="inlineStr">
        <is>
          <t>D-053 run start</t>
        </is>
      </c>
      <c r="C429" s="10" t="n">
        <v>46316.71282407407</v>
      </c>
      <c r="D429" s="7" t="inlineStr">
        <is>
          <t>UTC</t>
        </is>
      </c>
      <c r="E429" s="7" t="inlineStr">
        <is>
          <t>constrained</t>
        </is>
      </c>
      <c r="F429" s="7" t="inlineStr">
        <is>
          <t>artifacts/research/gt-constrained-2026-10-21/summary.json</t>
        </is>
      </c>
      <c r="G429" s="7" t="inlineStr">
        <is>
          <t>/manifest/started_at</t>
        </is>
      </c>
      <c r="H429" s="7" t="inlineStr">
        <is>
          <t>2026-10-21T17:06:28+00:00</t>
        </is>
      </c>
      <c r="I429" s="7" t="inlineStr">
        <is>
          <t>d5385c8859b58494541d775b8846e422ad8de48c69b520365ec325f594cf7e14</t>
        </is>
      </c>
      <c r="J429" s="7" t="inlineStr">
        <is>
          <t>protocol configs/experiments/gt-constrained-2026-10-21.yaml (first commit 2e2b01a 2026-10-21T22:31:57+05:30)</t>
        </is>
      </c>
      <c r="K429" s="7" t="inlineStr">
        <is>
          <t>local / reproducible-only (git-ignored)</t>
        </is>
      </c>
    </row>
    <row r="430">
      <c r="A430" s="7" t="inlineStr">
        <is>
          <t>cs.opened_at</t>
        </is>
      </c>
      <c r="B430" s="7" t="inlineStr">
        <is>
          <t>D-053 assessment opened</t>
        </is>
      </c>
      <c r="C430" s="10" t="n">
        <v>46316.75611111111</v>
      </c>
      <c r="D430" s="7" t="inlineStr">
        <is>
          <t>UTC</t>
        </is>
      </c>
      <c r="E430" s="7" t="inlineStr">
        <is>
          <t>constrained</t>
        </is>
      </c>
      <c r="F430" s="7" t="inlineStr">
        <is>
          <t>artifacts/research/gt-constrained-2026-10-21/summary.json</t>
        </is>
      </c>
      <c r="G430" s="7" t="inlineStr">
        <is>
          <t>/assessment_opened/opened_at</t>
        </is>
      </c>
      <c r="H430" s="7" t="inlineStr">
        <is>
          <t>2026-10-21T17:06:28+00:00</t>
        </is>
      </c>
      <c r="I430" s="7" t="inlineStr">
        <is>
          <t>d5385c8859b58494541d775b8846e422ad8de48c69b520365ec325f594cf7e14</t>
        </is>
      </c>
      <c r="J430" s="7" t="inlineStr">
        <is>
          <t>protocol configs/experiments/gt-constrained-2026-10-21.yaml (first commit 2e2b01a 2026-10-21T22:31:57+05:30)</t>
        </is>
      </c>
      <c r="K430" s="7" t="inlineStr">
        <is>
          <t>local / reproducible-only (git-ignored)</t>
        </is>
      </c>
    </row>
    <row r="431">
      <c r="A431" s="7" t="inlineStr">
        <is>
          <t>cs.fits</t>
        </is>
      </c>
      <c r="B431" s="7" t="inlineStr">
        <is>
          <t>D-053 logical fits</t>
        </is>
      </c>
      <c r="C431" s="7" t="n">
        <v>1490</v>
      </c>
      <c r="D431" s="7" t="inlineStr">
        <is>
          <t>fits</t>
        </is>
      </c>
      <c r="E431" s="7" t="inlineStr">
        <is>
          <t>constrained</t>
        </is>
      </c>
      <c r="F431" s="7" t="inlineStr">
        <is>
          <t>artifacts/research/gt-constrained-2026-10-21/summary.json</t>
        </is>
      </c>
      <c r="G431" s="7" t="inlineStr">
        <is>
          <t>/fit_totals/fits</t>
        </is>
      </c>
      <c r="H431" s="7" t="inlineStr">
        <is>
          <t>2026-10-21T17:06:28+00:00</t>
        </is>
      </c>
      <c r="I431" s="7" t="inlineStr">
        <is>
          <t>d5385c8859b58494541d775b8846e422ad8de48c69b520365ec325f594cf7e14</t>
        </is>
      </c>
      <c r="J431" s="7" t="inlineStr">
        <is>
          <t>protocol configs/experiments/gt-constrained-2026-10-21.yaml (first commit 2e2b01a 2026-10-21T22:31:57+05:30)</t>
        </is>
      </c>
      <c r="K431" s="7" t="inlineStr">
        <is>
          <t>local / reproducible-only (git-ignored)</t>
        </is>
      </c>
    </row>
    <row r="432">
      <c r="A432" s="7" t="inlineStr">
        <is>
          <t>fd.FM60</t>
        </is>
      </c>
      <c r="B432" s="7" t="inlineStr">
        <is>
          <t>D-054 zero-shot foundation model, 60-min macro MAE</t>
        </is>
      </c>
      <c r="C432" s="8" t="n">
        <v>22.92371896850367</v>
      </c>
      <c r="D432" s="7" t="inlineStr">
        <is>
          <t>mg/dL</t>
        </is>
      </c>
      <c r="E432" s="7" t="inlineStr">
        <is>
          <t>foundation</t>
        </is>
      </c>
      <c r="F432" s="7" t="inlineStr">
        <is>
          <t>artifacts/research/gt-foundation-2026-10-21/summary.json</t>
        </is>
      </c>
      <c r="G432" s="7" t="inlineStr">
        <is>
          <t>/horizons/60/FM_vs_persistence/macro/FM</t>
        </is>
      </c>
      <c r="H432" s="7" t="inlineStr">
        <is>
          <t>2026-10-21T16:09:47+00:00</t>
        </is>
      </c>
      <c r="I432" s="7" t="inlineStr">
        <is>
          <t>ebf2a2e6cb4bc2dcba531d23fdad6fad71f4e849933ee9537690bb6f939cf4e7</t>
        </is>
      </c>
      <c r="J432" s="7" t="inlineStr">
        <is>
          <t>protocol configs/experiments/gt-foundation-2026-10-21.yaml (first commit 1967c25 2026-10-21T21:31:06+05:30)</t>
        </is>
      </c>
      <c r="K432" s="7" t="inlineStr">
        <is>
          <t>local / reproducible-only (git-ignored)</t>
        </is>
      </c>
    </row>
    <row r="433">
      <c r="A433" s="7" t="inlineStr">
        <is>
          <t>fd.FM30</t>
        </is>
      </c>
      <c r="B433" s="7" t="inlineStr">
        <is>
          <t>D-054 foundation model, 30-min macro MAE</t>
        </is>
      </c>
      <c r="C433" s="8" t="n">
        <v>14.54557455819483</v>
      </c>
      <c r="D433" s="7" t="inlineStr">
        <is>
          <t>mg/dL</t>
        </is>
      </c>
      <c r="E433" s="7" t="inlineStr">
        <is>
          <t>foundation</t>
        </is>
      </c>
      <c r="F433" s="7" t="inlineStr">
        <is>
          <t>artifacts/research/gt-foundation-2026-10-21/summary.json</t>
        </is>
      </c>
      <c r="G433" s="7" t="inlineStr">
        <is>
          <t>/horizons/30/FM_vs_persistence/macro/FM</t>
        </is>
      </c>
      <c r="H433" s="7" t="inlineStr">
        <is>
          <t>2026-10-21T16:09:47+00:00</t>
        </is>
      </c>
      <c r="I433" s="7" t="inlineStr">
        <is>
          <t>ebf2a2e6cb4bc2dcba531d23fdad6fad71f4e849933ee9537690bb6f939cf4e7</t>
        </is>
      </c>
      <c r="J433" s="7" t="inlineStr">
        <is>
          <t>protocol configs/experiments/gt-foundation-2026-10-21.yaml (first commit 1967c25 2026-10-21T21:31:06+05:30)</t>
        </is>
      </c>
      <c r="K433" s="7" t="inlineStr">
        <is>
          <t>local / reproducible-only (git-ignored)</t>
        </is>
      </c>
    </row>
    <row r="434">
      <c r="A434" s="7" t="inlineStr">
        <is>
          <t>fd.P60</t>
        </is>
      </c>
      <c r="B434" s="7" t="inlineStr">
        <is>
          <t>D-054 persistence on identical origins, 60 min</t>
        </is>
      </c>
      <c r="C434" s="8" t="n">
        <v>24.46718893219164</v>
      </c>
      <c r="D434" s="7" t="inlineStr">
        <is>
          <t>mg/dL</t>
        </is>
      </c>
      <c r="E434" s="7" t="inlineStr">
        <is>
          <t>foundation</t>
        </is>
      </c>
      <c r="F434" s="7" t="inlineStr">
        <is>
          <t>artifacts/research/gt-foundation-2026-10-21/summary.json</t>
        </is>
      </c>
      <c r="G434" s="7" t="inlineStr">
        <is>
          <t>/horizons/60/FM_vs_persistence/macro/persistence</t>
        </is>
      </c>
      <c r="H434" s="7" t="inlineStr">
        <is>
          <t>2026-10-21T16:09:47+00:00</t>
        </is>
      </c>
      <c r="I434" s="7" t="inlineStr">
        <is>
          <t>ebf2a2e6cb4bc2dcba531d23fdad6fad71f4e849933ee9537690bb6f939cf4e7</t>
        </is>
      </c>
      <c r="J434" s="7" t="inlineStr">
        <is>
          <t>protocol configs/experiments/gt-foundation-2026-10-21.yaml (first commit 1967c25 2026-10-21T21:31:06+05:30)</t>
        </is>
      </c>
      <c r="K434" s="7" t="inlineStr">
        <is>
          <t>local / reproducible-only (git-ignored)</t>
        </is>
      </c>
    </row>
    <row r="435">
      <c r="A435" s="7" t="inlineStr">
        <is>
          <t>fd.P30</t>
        </is>
      </c>
      <c r="B435" s="7" t="inlineStr">
        <is>
          <t>D-054 persistence on identical origins, 30 min</t>
        </is>
      </c>
      <c r="C435" s="8" t="n">
        <v>15.33870657820233</v>
      </c>
      <c r="D435" s="7" t="inlineStr">
        <is>
          <t>mg/dL</t>
        </is>
      </c>
      <c r="E435" s="7" t="inlineStr">
        <is>
          <t>foundation</t>
        </is>
      </c>
      <c r="F435" s="7" t="inlineStr">
        <is>
          <t>artifacts/research/gt-foundation-2026-10-21/summary.json</t>
        </is>
      </c>
      <c r="G435" s="7" t="inlineStr">
        <is>
          <t>/horizons/30/FM_vs_persistence/macro/persistence</t>
        </is>
      </c>
      <c r="H435" s="7" t="inlineStr">
        <is>
          <t>2026-10-21T16:09:47+00:00</t>
        </is>
      </c>
      <c r="I435" s="7" t="inlineStr">
        <is>
          <t>ebf2a2e6cb4bc2dcba531d23fdad6fad71f4e849933ee9537690bb6f939cf4e7</t>
        </is>
      </c>
      <c r="J435" s="7" t="inlineStr">
        <is>
          <t>protocol configs/experiments/gt-foundation-2026-10-21.yaml (first commit 1967c25 2026-10-21T21:31:06+05:30)</t>
        </is>
      </c>
      <c r="K435" s="7" t="inlineStr">
        <is>
          <t>local / reproducible-only (git-ignored)</t>
        </is>
      </c>
    </row>
    <row r="436">
      <c r="A436" s="7" t="inlineStr">
        <is>
          <t>fd.R060</t>
        </is>
      </c>
      <c r="B436" s="7" t="inlineStr">
        <is>
          <t>D-054 refitted serving recipe (saved D-052 R0), 60 min</t>
        </is>
      </c>
      <c r="C436" s="8" t="n">
        <v>22.4998433167292</v>
      </c>
      <c r="D436" s="7" t="inlineStr">
        <is>
          <t>mg/dL</t>
        </is>
      </c>
      <c r="E436" s="7" t="inlineStr">
        <is>
          <t>foundation</t>
        </is>
      </c>
      <c r="F436" s="7" t="inlineStr">
        <is>
          <t>artifacts/research/gt-foundation-2026-10-21/summary.json</t>
        </is>
      </c>
      <c r="G436" s="7" t="inlineStr">
        <is>
          <t>/horizons/60/FM_vs_R0saved_final/macro/R0</t>
        </is>
      </c>
      <c r="H436" s="7" t="inlineStr">
        <is>
          <t>2026-10-21T16:09:47+00:00</t>
        </is>
      </c>
      <c r="I436" s="7" t="inlineStr">
        <is>
          <t>ebf2a2e6cb4bc2dcba531d23fdad6fad71f4e849933ee9537690bb6f939cf4e7</t>
        </is>
      </c>
      <c r="J436" s="7" t="inlineStr">
        <is>
          <t>protocol configs/experiments/gt-foundation-2026-10-21.yaml (first commit 1967c25 2026-10-21T21:31:06+05:30)</t>
        </is>
      </c>
      <c r="K436" s="7" t="inlineStr">
        <is>
          <t>local / reproducible-only (git-ignored)</t>
        </is>
      </c>
    </row>
    <row r="437">
      <c r="A437" s="7" t="inlineStr">
        <is>
          <t>fd.fp.mean</t>
        </is>
      </c>
      <c r="B437" s="7" t="inlineStr">
        <is>
          <t>D-054 FM_vs_persistence, 60 min: mean</t>
        </is>
      </c>
      <c r="C437" s="8" t="n">
        <v>-1.543469963687954</v>
      </c>
      <c r="D437" s="7" t="inlineStr">
        <is>
          <t>mg/dL</t>
        </is>
      </c>
      <c r="E437" s="7" t="inlineStr">
        <is>
          <t>foundation</t>
        </is>
      </c>
      <c r="F437" s="7" t="inlineStr">
        <is>
          <t>artifacts/research/gt-foundation-2026-10-21/summary.json</t>
        </is>
      </c>
      <c r="G437" s="7" t="inlineStr">
        <is>
          <t>/horizons/60/FM_vs_persistence/diff_macro/mean</t>
        </is>
      </c>
      <c r="H437" s="7" t="inlineStr">
        <is>
          <t>2026-10-21T16:09:47+00:00</t>
        </is>
      </c>
      <c r="I437" s="7" t="inlineStr">
        <is>
          <t>ebf2a2e6cb4bc2dcba531d23fdad6fad71f4e849933ee9537690bb6f939cf4e7</t>
        </is>
      </c>
      <c r="J437" s="7" t="inlineStr">
        <is>
          <t>protocol configs/experiments/gt-foundation-2026-10-21.yaml (first commit 1967c25 2026-10-21T21:31:06+05:30)</t>
        </is>
      </c>
      <c r="K437" s="7" t="inlineStr">
        <is>
          <t>local / reproducible-only (git-ignored)</t>
        </is>
      </c>
    </row>
    <row r="438">
      <c r="A438" s="7" t="inlineStr">
        <is>
          <t>fd.fp.lo</t>
        </is>
      </c>
      <c r="B438" s="7" t="inlineStr">
        <is>
          <t>D-054 FM_vs_persistence, 60 min: lo</t>
        </is>
      </c>
      <c r="C438" s="8" t="n">
        <v>-1.807895292977744</v>
      </c>
      <c r="D438" s="7" t="inlineStr">
        <is>
          <t>mg/dL</t>
        </is>
      </c>
      <c r="E438" s="7" t="inlineStr">
        <is>
          <t>foundation</t>
        </is>
      </c>
      <c r="F438" s="7" t="inlineStr">
        <is>
          <t>artifacts/research/gt-foundation-2026-10-21/summary.json</t>
        </is>
      </c>
      <c r="G438" s="7" t="inlineStr">
        <is>
          <t>/horizons/60/FM_vs_persistence/diff_macro/lo</t>
        </is>
      </c>
      <c r="H438" s="7" t="inlineStr">
        <is>
          <t>2026-10-21T16:09:47+00:00</t>
        </is>
      </c>
      <c r="I438" s="7" t="inlineStr">
        <is>
          <t>ebf2a2e6cb4bc2dcba531d23fdad6fad71f4e849933ee9537690bb6f939cf4e7</t>
        </is>
      </c>
      <c r="J438" s="7" t="inlineStr">
        <is>
          <t>protocol configs/experiments/gt-foundation-2026-10-21.yaml (first commit 1967c25 2026-10-21T21:31:06+05:30)</t>
        </is>
      </c>
      <c r="K438" s="7" t="inlineStr">
        <is>
          <t>local / reproducible-only (git-ignored)</t>
        </is>
      </c>
    </row>
    <row r="439">
      <c r="A439" s="7" t="inlineStr">
        <is>
          <t>fd.fp.hi</t>
        </is>
      </c>
      <c r="B439" s="7" t="inlineStr">
        <is>
          <t>D-054 FM_vs_persistence, 60 min: hi</t>
        </is>
      </c>
      <c r="C439" s="8" t="n">
        <v>-1.295846551546249</v>
      </c>
      <c r="D439" s="7" t="inlineStr">
        <is>
          <t>mg/dL</t>
        </is>
      </c>
      <c r="E439" s="7" t="inlineStr">
        <is>
          <t>foundation</t>
        </is>
      </c>
      <c r="F439" s="7" t="inlineStr">
        <is>
          <t>artifacts/research/gt-foundation-2026-10-21/summary.json</t>
        </is>
      </c>
      <c r="G439" s="7" t="inlineStr">
        <is>
          <t>/horizons/60/FM_vs_persistence/diff_macro/hi</t>
        </is>
      </c>
      <c r="H439" s="7" t="inlineStr">
        <is>
          <t>2026-10-21T16:09:47+00:00</t>
        </is>
      </c>
      <c r="I439" s="7" t="inlineStr">
        <is>
          <t>ebf2a2e6cb4bc2dcba531d23fdad6fad71f4e849933ee9537690bb6f939cf4e7</t>
        </is>
      </c>
      <c r="J439" s="7" t="inlineStr">
        <is>
          <t>protocol configs/experiments/gt-foundation-2026-10-21.yaml (first commit 1967c25 2026-10-21T21:31:06+05:30)</t>
        </is>
      </c>
      <c r="K439" s="7" t="inlineStr">
        <is>
          <t>local / reproducible-only (git-ignored)</t>
        </is>
      </c>
    </row>
    <row r="440">
      <c r="A440" s="7" t="inlineStr">
        <is>
          <t>fd.fp.people_better</t>
        </is>
      </c>
      <c r="B440" s="7" t="inlineStr">
        <is>
          <t>D-054 FM_vs_persistence, 60 min: people_better</t>
        </is>
      </c>
      <c r="C440" s="7" t="n">
        <v>14</v>
      </c>
      <c r="D440" s="7" t="inlineStr">
        <is>
          <t>people</t>
        </is>
      </c>
      <c r="E440" s="7" t="inlineStr">
        <is>
          <t>foundation</t>
        </is>
      </c>
      <c r="F440" s="7" t="inlineStr">
        <is>
          <t>artifacts/research/gt-foundation-2026-10-21/summary.json</t>
        </is>
      </c>
      <c r="G440" s="7" t="inlineStr">
        <is>
          <t>/horizons/60/FM_vs_persistence/diff_macro/people_better</t>
        </is>
      </c>
      <c r="H440" s="7" t="inlineStr">
        <is>
          <t>2026-10-21T16:09:47+00:00</t>
        </is>
      </c>
      <c r="I440" s="7" t="inlineStr">
        <is>
          <t>ebf2a2e6cb4bc2dcba531d23fdad6fad71f4e849933ee9537690bb6f939cf4e7</t>
        </is>
      </c>
      <c r="J440" s="7" t="inlineStr">
        <is>
          <t>protocol configs/experiments/gt-foundation-2026-10-21.yaml (first commit 1967c25 2026-10-21T21:31:06+05:30)</t>
        </is>
      </c>
      <c r="K440" s="7" t="inlineStr">
        <is>
          <t>local / reproducible-only (git-ignored)</t>
        </is>
      </c>
    </row>
    <row r="441">
      <c r="A441" s="7" t="inlineStr">
        <is>
          <t>fd.fr.mean</t>
        </is>
      </c>
      <c r="B441" s="7" t="inlineStr">
        <is>
          <t>D-054 FM_vs_R0saved_final, 60 min: mean</t>
        </is>
      </c>
      <c r="C441" s="8" t="n">
        <v>0.423875651774472</v>
      </c>
      <c r="D441" s="7" t="inlineStr">
        <is>
          <t>mg/dL</t>
        </is>
      </c>
      <c r="E441" s="7" t="inlineStr">
        <is>
          <t>foundation</t>
        </is>
      </c>
      <c r="F441" s="7" t="inlineStr">
        <is>
          <t>artifacts/research/gt-foundation-2026-10-21/summary.json</t>
        </is>
      </c>
      <c r="G441" s="7" t="inlineStr">
        <is>
          <t>/horizons/60/FM_vs_R0saved_final/diff_macro/mean</t>
        </is>
      </c>
      <c r="H441" s="7" t="inlineStr">
        <is>
          <t>2026-10-21T16:09:47+00:00</t>
        </is>
      </c>
      <c r="I441" s="7" t="inlineStr">
        <is>
          <t>ebf2a2e6cb4bc2dcba531d23fdad6fad71f4e849933ee9537690bb6f939cf4e7</t>
        </is>
      </c>
      <c r="J441" s="7" t="inlineStr">
        <is>
          <t>protocol configs/experiments/gt-foundation-2026-10-21.yaml (first commit 1967c25 2026-10-21T21:31:06+05:30)</t>
        </is>
      </c>
      <c r="K441" s="7" t="inlineStr">
        <is>
          <t>local / reproducible-only (git-ignored)</t>
        </is>
      </c>
    </row>
    <row r="442">
      <c r="A442" s="7" t="inlineStr">
        <is>
          <t>fd.fr.lo</t>
        </is>
      </c>
      <c r="B442" s="7" t="inlineStr">
        <is>
          <t>D-054 FM_vs_R0saved_final, 60 min: lo</t>
        </is>
      </c>
      <c r="C442" s="8" t="n">
        <v>-0.7015759670296133</v>
      </c>
      <c r="D442" s="7" t="inlineStr">
        <is>
          <t>mg/dL</t>
        </is>
      </c>
      <c r="E442" s="7" t="inlineStr">
        <is>
          <t>foundation</t>
        </is>
      </c>
      <c r="F442" s="7" t="inlineStr">
        <is>
          <t>artifacts/research/gt-foundation-2026-10-21/summary.json</t>
        </is>
      </c>
      <c r="G442" s="7" t="inlineStr">
        <is>
          <t>/horizons/60/FM_vs_R0saved_final/diff_macro/lo</t>
        </is>
      </c>
      <c r="H442" s="7" t="inlineStr">
        <is>
          <t>2026-10-21T16:09:47+00:00</t>
        </is>
      </c>
      <c r="I442" s="7" t="inlineStr">
        <is>
          <t>ebf2a2e6cb4bc2dcba531d23fdad6fad71f4e849933ee9537690bb6f939cf4e7</t>
        </is>
      </c>
      <c r="J442" s="7" t="inlineStr">
        <is>
          <t>protocol configs/experiments/gt-foundation-2026-10-21.yaml (first commit 1967c25 2026-10-21T21:31:06+05:30)</t>
        </is>
      </c>
      <c r="K442" s="7" t="inlineStr">
        <is>
          <t>local / reproducible-only (git-ignored)</t>
        </is>
      </c>
    </row>
    <row r="443">
      <c r="A443" s="7" t="inlineStr">
        <is>
          <t>fd.fr.hi</t>
        </is>
      </c>
      <c r="B443" s="7" t="inlineStr">
        <is>
          <t>D-054 FM_vs_R0saved_final, 60 min: hi</t>
        </is>
      </c>
      <c r="C443" s="8" t="n">
        <v>1.474193054662105</v>
      </c>
      <c r="D443" s="7" t="inlineStr">
        <is>
          <t>mg/dL</t>
        </is>
      </c>
      <c r="E443" s="7" t="inlineStr">
        <is>
          <t>foundation</t>
        </is>
      </c>
      <c r="F443" s="7" t="inlineStr">
        <is>
          <t>artifacts/research/gt-foundation-2026-10-21/summary.json</t>
        </is>
      </c>
      <c r="G443" s="7" t="inlineStr">
        <is>
          <t>/horizons/60/FM_vs_R0saved_final/diff_macro/hi</t>
        </is>
      </c>
      <c r="H443" s="7" t="inlineStr">
        <is>
          <t>2026-10-21T16:09:47+00:00</t>
        </is>
      </c>
      <c r="I443" s="7" t="inlineStr">
        <is>
          <t>ebf2a2e6cb4bc2dcba531d23fdad6fad71f4e849933ee9537690bb6f939cf4e7</t>
        </is>
      </c>
      <c r="J443" s="7" t="inlineStr">
        <is>
          <t>protocol configs/experiments/gt-foundation-2026-10-21.yaml (first commit 1967c25 2026-10-21T21:31:06+05:30)</t>
        </is>
      </c>
      <c r="K443" s="7" t="inlineStr">
        <is>
          <t>local / reproducible-only (git-ignored)</t>
        </is>
      </c>
    </row>
    <row r="444">
      <c r="A444" s="7" t="inlineStr">
        <is>
          <t>fd.fr.people_better</t>
        </is>
      </c>
      <c r="B444" s="7" t="inlineStr">
        <is>
          <t>D-054 FM_vs_R0saved_final, 60 min: people_better</t>
        </is>
      </c>
      <c r="C444" s="7" t="n">
        <v>4</v>
      </c>
      <c r="D444" s="7" t="inlineStr">
        <is>
          <t>people</t>
        </is>
      </c>
      <c r="E444" s="7" t="inlineStr">
        <is>
          <t>foundation</t>
        </is>
      </c>
      <c r="F444" s="7" t="inlineStr">
        <is>
          <t>artifacts/research/gt-foundation-2026-10-21/summary.json</t>
        </is>
      </c>
      <c r="G444" s="7" t="inlineStr">
        <is>
          <t>/horizons/60/FM_vs_R0saved_final/diff_macro/people_better</t>
        </is>
      </c>
      <c r="H444" s="7" t="inlineStr">
        <is>
          <t>2026-10-21T16:09:47+00:00</t>
        </is>
      </c>
      <c r="I444" s="7" t="inlineStr">
        <is>
          <t>ebf2a2e6cb4bc2dcba531d23fdad6fad71f4e849933ee9537690bb6f939cf4e7</t>
        </is>
      </c>
      <c r="J444" s="7" t="inlineStr">
        <is>
          <t>protocol configs/experiments/gt-foundation-2026-10-21.yaml (first commit 1967c25 2026-10-21T21:31:06+05:30)</t>
        </is>
      </c>
      <c r="K444" s="7" t="inlineStr">
        <is>
          <t>local / reproducible-only (git-ignored)</t>
        </is>
      </c>
    </row>
    <row r="445">
      <c r="A445" s="7" t="inlineStr">
        <is>
          <t>fd.f1.mean</t>
        </is>
      </c>
      <c r="B445" s="7" t="inlineStr">
        <is>
          <t>D-054 F1_final_vs_R0refit_final, 60 min: mean</t>
        </is>
      </c>
      <c r="C445" s="8" t="n">
        <v>-0.459831937393668</v>
      </c>
      <c r="D445" s="7" t="inlineStr">
        <is>
          <t>mg/dL</t>
        </is>
      </c>
      <c r="E445" s="7" t="inlineStr">
        <is>
          <t>foundation</t>
        </is>
      </c>
      <c r="F445" s="7" t="inlineStr">
        <is>
          <t>artifacts/research/gt-foundation-2026-10-21/summary.json</t>
        </is>
      </c>
      <c r="G445" s="7" t="inlineStr">
        <is>
          <t>/horizons/60/F1_final_vs_R0refit_final/diff_macro/mean</t>
        </is>
      </c>
      <c r="H445" s="7" t="inlineStr">
        <is>
          <t>2026-10-21T16:09:47+00:00</t>
        </is>
      </c>
      <c r="I445" s="7" t="inlineStr">
        <is>
          <t>ebf2a2e6cb4bc2dcba531d23fdad6fad71f4e849933ee9537690bb6f939cf4e7</t>
        </is>
      </c>
      <c r="J445" s="7" t="inlineStr">
        <is>
          <t>protocol configs/experiments/gt-foundation-2026-10-21.yaml (first commit 1967c25 2026-10-21T21:31:06+05:30)</t>
        </is>
      </c>
      <c r="K445" s="7" t="inlineStr">
        <is>
          <t>local / reproducible-only (git-ignored)</t>
        </is>
      </c>
    </row>
    <row r="446">
      <c r="A446" s="7" t="inlineStr">
        <is>
          <t>fd.f1.lo</t>
        </is>
      </c>
      <c r="B446" s="7" t="inlineStr">
        <is>
          <t>D-054 F1_final_vs_R0refit_final, 60 min: lo</t>
        </is>
      </c>
      <c r="C446" s="8" t="n">
        <v>-0.7200089289780092</v>
      </c>
      <c r="D446" s="7" t="inlineStr">
        <is>
          <t>mg/dL</t>
        </is>
      </c>
      <c r="E446" s="7" t="inlineStr">
        <is>
          <t>foundation</t>
        </is>
      </c>
      <c r="F446" s="7" t="inlineStr">
        <is>
          <t>artifacts/research/gt-foundation-2026-10-21/summary.json</t>
        </is>
      </c>
      <c r="G446" s="7" t="inlineStr">
        <is>
          <t>/horizons/60/F1_final_vs_R0refit_final/diff_macro/lo</t>
        </is>
      </c>
      <c r="H446" s="7" t="inlineStr">
        <is>
          <t>2026-10-21T16:09:47+00:00</t>
        </is>
      </c>
      <c r="I446" s="7" t="inlineStr">
        <is>
          <t>ebf2a2e6cb4bc2dcba531d23fdad6fad71f4e849933ee9537690bb6f939cf4e7</t>
        </is>
      </c>
      <c r="J446" s="7" t="inlineStr">
        <is>
          <t>protocol configs/experiments/gt-foundation-2026-10-21.yaml (first commit 1967c25 2026-10-21T21:31:06+05:30)</t>
        </is>
      </c>
      <c r="K446" s="7" t="inlineStr">
        <is>
          <t>local / reproducible-only (git-ignored)</t>
        </is>
      </c>
    </row>
    <row r="447">
      <c r="A447" s="7" t="inlineStr">
        <is>
          <t>fd.f1.hi</t>
        </is>
      </c>
      <c r="B447" s="7" t="inlineStr">
        <is>
          <t>D-054 F1_final_vs_R0refit_final, 60 min: hi</t>
        </is>
      </c>
      <c r="C447" s="8" t="n">
        <v>-0.2134457226672128</v>
      </c>
      <c r="D447" s="7" t="inlineStr">
        <is>
          <t>mg/dL</t>
        </is>
      </c>
      <c r="E447" s="7" t="inlineStr">
        <is>
          <t>foundation</t>
        </is>
      </c>
      <c r="F447" s="7" t="inlineStr">
        <is>
          <t>artifacts/research/gt-foundation-2026-10-21/summary.json</t>
        </is>
      </c>
      <c r="G447" s="7" t="inlineStr">
        <is>
          <t>/horizons/60/F1_final_vs_R0refit_final/diff_macro/hi</t>
        </is>
      </c>
      <c r="H447" s="7" t="inlineStr">
        <is>
          <t>2026-10-21T16:09:47+00:00</t>
        </is>
      </c>
      <c r="I447" s="7" t="inlineStr">
        <is>
          <t>ebf2a2e6cb4bc2dcba531d23fdad6fad71f4e849933ee9537690bb6f939cf4e7</t>
        </is>
      </c>
      <c r="J447" s="7" t="inlineStr">
        <is>
          <t>protocol configs/experiments/gt-foundation-2026-10-21.yaml (first commit 1967c25 2026-10-21T21:31:06+05:30)</t>
        </is>
      </c>
      <c r="K447" s="7" t="inlineStr">
        <is>
          <t>local / reproducible-only (git-ignored)</t>
        </is>
      </c>
    </row>
    <row r="448">
      <c r="A448" s="7" t="inlineStr">
        <is>
          <t>fd.f1.people_better</t>
        </is>
      </c>
      <c r="B448" s="7" t="inlineStr">
        <is>
          <t>D-054 F1_final_vs_R0refit_final, 60 min: people_better</t>
        </is>
      </c>
      <c r="C448" s="7" t="n">
        <v>12</v>
      </c>
      <c r="D448" s="7" t="inlineStr">
        <is>
          <t>people</t>
        </is>
      </c>
      <c r="E448" s="7" t="inlineStr">
        <is>
          <t>foundation</t>
        </is>
      </c>
      <c r="F448" s="7" t="inlineStr">
        <is>
          <t>artifacts/research/gt-foundation-2026-10-21/summary.json</t>
        </is>
      </c>
      <c r="G448" s="7" t="inlineStr">
        <is>
          <t>/horizons/60/F1_final_vs_R0refit_final/diff_macro/people_better</t>
        </is>
      </c>
      <c r="H448" s="7" t="inlineStr">
        <is>
          <t>2026-10-21T16:09:47+00:00</t>
        </is>
      </c>
      <c r="I448" s="7" t="inlineStr">
        <is>
          <t>ebf2a2e6cb4bc2dcba531d23fdad6fad71f4e849933ee9537690bb6f939cf4e7</t>
        </is>
      </c>
      <c r="J448" s="7" t="inlineStr">
        <is>
          <t>protocol configs/experiments/gt-foundation-2026-10-21.yaml (first commit 1967c25 2026-10-21T21:31:06+05:30)</t>
        </is>
      </c>
      <c r="K448" s="7" t="inlineStr">
        <is>
          <t>local / reproducible-only (git-ignored)</t>
        </is>
      </c>
    </row>
    <row r="449">
      <c r="A449" s="7" t="inlineStr">
        <is>
          <t>fd.high.FM</t>
        </is>
      </c>
      <c r="B449" s="7" t="inlineStr">
        <is>
          <t>D-054 foundation, targets &gt; 180, 60 min</t>
        </is>
      </c>
      <c r="C449" s="8" t="n">
        <v>43.67241332679334</v>
      </c>
      <c r="D449" s="7" t="inlineStr">
        <is>
          <t>mg/dL</t>
        </is>
      </c>
      <c r="E449" s="7" t="inlineStr">
        <is>
          <t>foundation</t>
        </is>
      </c>
      <c r="F449" s="7" t="inlineStr">
        <is>
          <t>artifacts/research/gt-foundation-2026-10-21/summary.json</t>
        </is>
      </c>
      <c r="G449" s="7" t="inlineStr">
        <is>
          <t>/horizons/60/FM_vs_R0saved_final/high_gt180/macro/FM</t>
        </is>
      </c>
      <c r="H449" s="7" t="inlineStr">
        <is>
          <t>2026-10-21T16:09:47+00:00</t>
        </is>
      </c>
      <c r="I449" s="7" t="inlineStr">
        <is>
          <t>ebf2a2e6cb4bc2dcba531d23fdad6fad71f4e849933ee9537690bb6f939cf4e7</t>
        </is>
      </c>
      <c r="J449" s="7" t="inlineStr">
        <is>
          <t>protocol configs/experiments/gt-foundation-2026-10-21.yaml (first commit 1967c25 2026-10-21T21:31:06+05:30)</t>
        </is>
      </c>
      <c r="K449" s="7" t="inlineStr">
        <is>
          <t>local / reproducible-only (git-ignored)</t>
        </is>
      </c>
    </row>
    <row r="450">
      <c r="A450" s="7" t="inlineStr">
        <is>
          <t>fd.high.R0</t>
        </is>
      </c>
      <c r="B450" s="7" t="inlineStr">
        <is>
          <t>D-054 R0, targets &gt; 180, 60 min</t>
        </is>
      </c>
      <c r="C450" s="8" t="n">
        <v>38.28278506199727</v>
      </c>
      <c r="D450" s="7" t="inlineStr">
        <is>
          <t>mg/dL</t>
        </is>
      </c>
      <c r="E450" s="7" t="inlineStr">
        <is>
          <t>foundation</t>
        </is>
      </c>
      <c r="F450" s="7" t="inlineStr">
        <is>
          <t>artifacts/research/gt-foundation-2026-10-21/summary.json</t>
        </is>
      </c>
      <c r="G450" s="7" t="inlineStr">
        <is>
          <t>/horizons/60/FM_vs_R0saved_final/high_gt180/macro/R0</t>
        </is>
      </c>
      <c r="H450" s="7" t="inlineStr">
        <is>
          <t>2026-10-21T16:09:47+00:00</t>
        </is>
      </c>
      <c r="I450" s="7" t="inlineStr">
        <is>
          <t>ebf2a2e6cb4bc2dcba531d23fdad6fad71f4e849933ee9537690bb6f939cf4e7</t>
        </is>
      </c>
      <c r="J450" s="7" t="inlineStr">
        <is>
          <t>protocol configs/experiments/gt-foundation-2026-10-21.yaml (first commit 1967c25 2026-10-21T21:31:06+05:30)</t>
        </is>
      </c>
      <c r="K450" s="7" t="inlineStr">
        <is>
          <t>local / reproducible-only (git-ignored)</t>
        </is>
      </c>
    </row>
    <row r="451">
      <c r="A451" s="7" t="inlineStr">
        <is>
          <t>fd.generated_at</t>
        </is>
      </c>
      <c r="B451" s="7" t="inlineStr">
        <is>
          <t>D-054 summary generated</t>
        </is>
      </c>
      <c r="C451" s="10" t="n">
        <v>46316.67346064815</v>
      </c>
      <c r="D451" s="7" t="inlineStr">
        <is>
          <t>UTC</t>
        </is>
      </c>
      <c r="E451" s="7" t="inlineStr">
        <is>
          <t>foundation</t>
        </is>
      </c>
      <c r="F451" s="7" t="inlineStr">
        <is>
          <t>artifacts/research/gt-foundation-2026-10-21/summary.json</t>
        </is>
      </c>
      <c r="G451" s="7" t="inlineStr">
        <is>
          <t>/generated_at</t>
        </is>
      </c>
      <c r="H451" s="7" t="inlineStr">
        <is>
          <t>2026-10-21T16:09:47+00:00</t>
        </is>
      </c>
      <c r="I451" s="7" t="inlineStr">
        <is>
          <t>ebf2a2e6cb4bc2dcba531d23fdad6fad71f4e849933ee9537690bb6f939cf4e7</t>
        </is>
      </c>
      <c r="J451" s="7" t="inlineStr">
        <is>
          <t>protocol configs/experiments/gt-foundation-2026-10-21.yaml (first commit 1967c25 2026-10-21T21:31:06+05:30)</t>
        </is>
      </c>
      <c r="K451" s="7" t="inlineStr">
        <is>
          <t>local / reproducible-only (git-ignored)</t>
        </is>
      </c>
    </row>
    <row r="452">
      <c r="A452" s="7" t="inlineStr">
        <is>
          <t>fd.checkpoint</t>
        </is>
      </c>
      <c r="B452" s="7" t="inlineStr">
        <is>
          <t>D-054 checkpoint</t>
        </is>
      </c>
      <c r="C452" s="7" t="inlineStr">
        <is>
          <t>amazon/chronos-bolt-tiny</t>
        </is>
      </c>
      <c r="D452" s="7" t="inlineStr">
        <is>
          <t>text</t>
        </is>
      </c>
      <c r="E452" s="7" t="inlineStr">
        <is>
          <t>foundation_meta</t>
        </is>
      </c>
      <c r="F452" s="7" t="inlineStr">
        <is>
          <t>artifacts/research/gt-foundation-2026-10-21/run_meta.json</t>
        </is>
      </c>
      <c r="G452" s="7" t="inlineStr">
        <is>
          <t>/checkpoint</t>
        </is>
      </c>
      <c r="H452" s="7" t="inlineStr">
        <is>
          <t>2026-10-21T16:09:31+00:00 (file time)</t>
        </is>
      </c>
      <c r="I452" s="7" t="inlineStr">
        <is>
          <t>08755c5f2897c441bd0bd4c30577e8151fc571e64000bd6625458af4f33c3b1e</t>
        </is>
      </c>
      <c r="J452" s="7" t="inlineStr">
        <is>
          <t>protocol configs/experiments/gt-foundation-2026-10-21.yaml (first commit 1967c25 2026-10-21T21:31:06+05:30)</t>
        </is>
      </c>
      <c r="K452" s="7" t="inlineStr">
        <is>
          <t>local / reproducible-only (git-ignored)</t>
        </is>
      </c>
    </row>
    <row r="453">
      <c r="A453" s="7" t="inlineStr">
        <is>
          <t>fd.revision</t>
        </is>
      </c>
      <c r="B453" s="7" t="inlineStr">
        <is>
          <t>D-054 pinned checkpoint revision</t>
        </is>
      </c>
      <c r="C453" s="7" t="inlineStr">
        <is>
          <t>a0e552de83495b5c28c14c71c374f3e33280b340</t>
        </is>
      </c>
      <c r="D453" s="7" t="inlineStr">
        <is>
          <t>text</t>
        </is>
      </c>
      <c r="E453" s="7" t="inlineStr">
        <is>
          <t>foundation_meta</t>
        </is>
      </c>
      <c r="F453" s="7" t="inlineStr">
        <is>
          <t>artifacts/research/gt-foundation-2026-10-21/run_meta.json</t>
        </is>
      </c>
      <c r="G453" s="7" t="inlineStr">
        <is>
          <t>/revision</t>
        </is>
      </c>
      <c r="H453" s="7" t="inlineStr">
        <is>
          <t>2026-10-21T16:09:31+00:00 (file time)</t>
        </is>
      </c>
      <c r="I453" s="7" t="inlineStr">
        <is>
          <t>08755c5f2897c441bd0bd4c30577e8151fc571e64000bd6625458af4f33c3b1e</t>
        </is>
      </c>
      <c r="J453" s="7" t="inlineStr">
        <is>
          <t>protocol configs/experiments/gt-foundation-2026-10-21.yaml (first commit 1967c25 2026-10-21T21:31:06+05:30)</t>
        </is>
      </c>
      <c r="K453" s="7" t="inlineStr">
        <is>
          <t>local / reproducible-only (git-ignored)</t>
        </is>
      </c>
    </row>
    <row r="454">
      <c r="A454" s="7" t="inlineStr">
        <is>
          <t>fd.license</t>
        </is>
      </c>
      <c r="B454" s="7" t="inlineStr">
        <is>
          <t>D-054 checkpoint licence</t>
        </is>
      </c>
      <c r="C454" s="7" t="inlineStr">
        <is>
          <t>apache-2.0</t>
        </is>
      </c>
      <c r="D454" s="7" t="inlineStr">
        <is>
          <t>text</t>
        </is>
      </c>
      <c r="E454" s="7" t="inlineStr">
        <is>
          <t>foundation_meta</t>
        </is>
      </c>
      <c r="F454" s="7" t="inlineStr">
        <is>
          <t>artifacts/research/gt-foundation-2026-10-21/run_meta.json</t>
        </is>
      </c>
      <c r="G454" s="7" t="inlineStr">
        <is>
          <t>/license</t>
        </is>
      </c>
      <c r="H454" s="7" t="inlineStr">
        <is>
          <t>2026-10-21T16:09:31+00:00 (file time)</t>
        </is>
      </c>
      <c r="I454" s="7" t="inlineStr">
        <is>
          <t>08755c5f2897c441bd0bd4c30577e8151fc571e64000bd6625458af4f33c3b1e</t>
        </is>
      </c>
      <c r="J454" s="7" t="inlineStr">
        <is>
          <t>protocol configs/experiments/gt-foundation-2026-10-21.yaml (first commit 1967c25 2026-10-21T21:31:06+05:30)</t>
        </is>
      </c>
      <c r="K454" s="7" t="inlineStr">
        <is>
          <t>local / reproducible-only (git-ignored)</t>
        </is>
      </c>
    </row>
    <row r="455">
      <c r="A455" s="7" t="inlineStr">
        <is>
          <t>fd.origins</t>
        </is>
      </c>
      <c r="B455" s="7" t="inlineStr">
        <is>
          <t>D-054 origins scored</t>
        </is>
      </c>
      <c r="C455" s="7" t="n">
        <v>39761</v>
      </c>
      <c r="D455" s="7" t="inlineStr">
        <is>
          <t>origins</t>
        </is>
      </c>
      <c r="E455" s="7" t="inlineStr">
        <is>
          <t>foundation_meta</t>
        </is>
      </c>
      <c r="F455" s="7" t="inlineStr">
        <is>
          <t>artifacts/research/gt-foundation-2026-10-21/run_meta.json</t>
        </is>
      </c>
      <c r="G455" s="7" t="inlineStr">
        <is>
          <t>/origins</t>
        </is>
      </c>
      <c r="H455" s="7" t="inlineStr">
        <is>
          <t>2026-10-21T16:09:31+00:00 (file time)</t>
        </is>
      </c>
      <c r="I455" s="7" t="inlineStr">
        <is>
          <t>08755c5f2897c441bd0bd4c30577e8151fc571e64000bd6625458af4f33c3b1e</t>
        </is>
      </c>
      <c r="J455" s="7" t="inlineStr">
        <is>
          <t>protocol configs/experiments/gt-foundation-2026-10-21.yaml (first commit 1967c25 2026-10-21T21:31:06+05:30)</t>
        </is>
      </c>
      <c r="K455" s="7" t="inlineStr">
        <is>
          <t>local / reproducible-only (git-ignored)</t>
        </is>
      </c>
    </row>
    <row r="456">
      <c r="A456" s="7" t="inlineStr">
        <is>
          <t>inv.cgm</t>
        </is>
      </c>
      <c r="B456" s="7" t="inlineStr">
        <is>
          <t>CGMacros participants imported</t>
        </is>
      </c>
      <c r="C456" s="7" t="n">
        <v>45</v>
      </c>
      <c r="D456" s="7" t="inlineStr">
        <is>
          <t>people</t>
        </is>
      </c>
      <c r="E456" s="7" t="inlineStr">
        <is>
          <t>inventory</t>
        </is>
      </c>
      <c r="F456" s="7" t="inlineStr">
        <is>
          <t>reports/dataset_inventory.json</t>
        </is>
      </c>
      <c r="G456" s="7" t="inlineStr">
        <is>
          <t>/datasets[dataset_id=cgmacros]/parsed_participants</t>
        </is>
      </c>
      <c r="H456" s="7" t="inlineStr">
        <is>
          <t>2026-10-12T13:51:13+00:00</t>
        </is>
      </c>
      <c r="I456" s="7" t="inlineStr">
        <is>
          <t>b5f5be6fc38ef245a4dd8bc133d1f87f46c746c36517c02b58fff7d77ae90b88</t>
        </is>
      </c>
      <c r="J456" s="7" t="inlineStr">
        <is>
          <t>data import</t>
        </is>
      </c>
      <c r="K456" s="7" t="inlineStr">
        <is>
          <t>public in repo (tracked)</t>
        </is>
      </c>
    </row>
    <row r="457">
      <c r="A457" s="7" t="inlineStr">
        <is>
          <t>inv.sh</t>
        </is>
      </c>
      <c r="B457" s="7" t="inlineStr">
        <is>
          <t>ShanghaiT2DM participants imported</t>
        </is>
      </c>
      <c r="C457" s="7" t="n">
        <v>100</v>
      </c>
      <c r="D457" s="7" t="inlineStr">
        <is>
          <t>people</t>
        </is>
      </c>
      <c r="E457" s="7" t="inlineStr">
        <is>
          <t>inventory</t>
        </is>
      </c>
      <c r="F457" s="7" t="inlineStr">
        <is>
          <t>reports/dataset_inventory.json</t>
        </is>
      </c>
      <c r="G457" s="7" t="inlineStr">
        <is>
          <t>/datasets[dataset_id=shanghai_t2dm]/parsed_participants</t>
        </is>
      </c>
      <c r="H457" s="7" t="inlineStr">
        <is>
          <t>2026-10-12T13:51:13+00:00</t>
        </is>
      </c>
      <c r="I457" s="7" t="inlineStr">
        <is>
          <t>b5f5be6fc38ef245a4dd8bc133d1f87f46c746c36517c02b58fff7d77ae90b88</t>
        </is>
      </c>
      <c r="J457" s="7" t="inlineStr">
        <is>
          <t>data import</t>
        </is>
      </c>
      <c r="K457" s="7" t="inlineStr">
        <is>
          <t>public in repo (tracked)</t>
        </is>
      </c>
    </row>
    <row r="458">
      <c r="A458" s="7" t="inlineStr">
        <is>
          <t>inv.cgm_eval</t>
        </is>
      </c>
      <c r="B458" s="7" t="inlineStr">
        <is>
          <t>CGMacros participants evaluated</t>
        </is>
      </c>
      <c r="C458" s="7" t="n">
        <v>14</v>
      </c>
      <c r="D458" s="7" t="inlineStr">
        <is>
          <t>people</t>
        </is>
      </c>
      <c r="E458" s="7" t="inlineStr">
        <is>
          <t>inventory</t>
        </is>
      </c>
      <c r="F458" s="7" t="inlineStr">
        <is>
          <t>reports/dataset_inventory.json</t>
        </is>
      </c>
      <c r="G458" s="7" t="inlineStr">
        <is>
          <t>/assessed_participants_by_dataset/cgmacros</t>
        </is>
      </c>
      <c r="H458" s="7" t="inlineStr">
        <is>
          <t>2026-10-12T13:51:13+00:00</t>
        </is>
      </c>
      <c r="I458" s="7" t="inlineStr">
        <is>
          <t>b5f5be6fc38ef245a4dd8bc133d1f87f46c746c36517c02b58fff7d77ae90b88</t>
        </is>
      </c>
      <c r="J458" s="7" t="inlineStr">
        <is>
          <t>data import</t>
        </is>
      </c>
      <c r="K458" s="7" t="inlineStr">
        <is>
          <t>public in repo (tracked)</t>
        </is>
      </c>
    </row>
    <row r="459">
      <c r="A459" s="7" t="inlineStr">
        <is>
          <t>inv.sh_eval</t>
        </is>
      </c>
      <c r="B459" s="7" t="inlineStr">
        <is>
          <t>ShanghaiT2DM participants evaluated</t>
        </is>
      </c>
      <c r="C459" s="7" t="n">
        <v>98</v>
      </c>
      <c r="D459" s="7" t="inlineStr">
        <is>
          <t>people</t>
        </is>
      </c>
      <c r="E459" s="7" t="inlineStr">
        <is>
          <t>inventory</t>
        </is>
      </c>
      <c r="F459" s="7" t="inlineStr">
        <is>
          <t>reports/dataset_inventory.json</t>
        </is>
      </c>
      <c r="G459" s="7" t="inlineStr">
        <is>
          <t>/assessed_participants_by_dataset/shanghai_t2dm</t>
        </is>
      </c>
      <c r="H459" s="7" t="inlineStr">
        <is>
          <t>2026-10-12T13:51:13+00:00</t>
        </is>
      </c>
      <c r="I459" s="7" t="inlineStr">
        <is>
          <t>b5f5be6fc38ef245a4dd8bc133d1f87f46c746c36517c02b58fff7d77ae90b88</t>
        </is>
      </c>
      <c r="J459" s="7" t="inlineStr">
        <is>
          <t>data import</t>
        </is>
      </c>
      <c r="K459" s="7" t="inlineStr">
        <is>
          <t>public in repo (tracked)</t>
        </is>
      </c>
    </row>
    <row r="460">
      <c r="A460" s="7" t="inlineStr">
        <is>
          <t>reg.serving</t>
        </is>
      </c>
      <c r="B460" s="7" t="inlineStr">
        <is>
          <t>Registry serving model, recorded data</t>
        </is>
      </c>
      <c r="C460" s="7" t="inlineStr">
        <is>
          <t>lightgbm.dyn-prof-v2.gt-primary-2026-10-13-fusion</t>
        </is>
      </c>
      <c r="D460" s="7" t="inlineStr">
        <is>
          <t>text</t>
        </is>
      </c>
      <c r="E460" s="7" t="inlineStr">
        <is>
          <t>registry</t>
        </is>
      </c>
      <c r="F460" s="7" t="inlineStr">
        <is>
          <t>artifacts/registry.json</t>
        </is>
      </c>
      <c r="G460" s="7" t="inlineStr">
        <is>
          <t>/serving/dataset_replay</t>
        </is>
      </c>
      <c r="H460" s="7" t="inlineStr">
        <is>
          <t>2026-10-13T09:21:28+00:00 (file time)</t>
        </is>
      </c>
      <c r="I460" s="7" t="inlineStr">
        <is>
          <t>04540adc4f16226c30886eecd8a6bb199bb89ab7ca08a8f88dfa3d4694b4af1c</t>
        </is>
      </c>
      <c r="J460" s="7" t="inlineStr">
        <is>
          <t>registry</t>
        </is>
      </c>
      <c r="K460" s="7" t="inlineStr">
        <is>
          <t>local / reproducible-only (git-ignored)</t>
        </is>
      </c>
    </row>
    <row r="461">
      <c r="A461" s="7" t="inlineStr">
        <is>
          <t>reg.synthetic</t>
        </is>
      </c>
      <c r="B461" s="7" t="inlineStr">
        <is>
          <t>Registry serving model, synthetic mode</t>
        </is>
      </c>
      <c r="C461" s="7" t="inlineStr">
        <is>
          <t>synthetic-demo.lightgbm.dyn-v2.v1</t>
        </is>
      </c>
      <c r="D461" s="7" t="inlineStr">
        <is>
          <t>text</t>
        </is>
      </c>
      <c r="E461" s="7" t="inlineStr">
        <is>
          <t>registry</t>
        </is>
      </c>
      <c r="F461" s="7" t="inlineStr">
        <is>
          <t>artifacts/registry.json</t>
        </is>
      </c>
      <c r="G461" s="7" t="inlineStr">
        <is>
          <t>/serving/synthetic_demo</t>
        </is>
      </c>
      <c r="H461" s="7" t="inlineStr">
        <is>
          <t>2026-10-13T09:21:28+00:00 (file time)</t>
        </is>
      </c>
      <c r="I461" s="7" t="inlineStr">
        <is>
          <t>04540adc4f16226c30886eecd8a6bb199bb89ab7ca08a8f88dfa3d4694b4af1c</t>
        </is>
      </c>
      <c r="J461" s="7" t="inlineStr">
        <is>
          <t>registry</t>
        </is>
      </c>
      <c r="K461" s="7" t="inlineStr">
        <is>
          <t>local / reproducible-only (git-ignored)</t>
        </is>
      </c>
    </row>
    <row r="462">
      <c r="A462" s="7" t="inlineStr">
        <is>
          <t>reg.synthetic_fitted</t>
        </is>
      </c>
      <c r="B462" s="7" t="inlineStr">
        <is>
          <t>Registry: synthetic demo model fitted on fictional data</t>
        </is>
      </c>
      <c r="C462" s="7" t="inlineStr">
        <is>
          <t>TRUE</t>
        </is>
      </c>
      <c r="D462" s="7" t="inlineStr">
        <is>
          <t>flag</t>
        </is>
      </c>
      <c r="E462" s="7" t="inlineStr">
        <is>
          <t>registry</t>
        </is>
      </c>
      <c r="F462" s="7" t="inlineStr">
        <is>
          <t>artifacts/registry.json</t>
        </is>
      </c>
      <c r="G462" s="7" t="inlineStr">
        <is>
          <t>/models[model_version=synthetic-demo.lightgbm.dyn-v2.v1]/synthetic_fitted</t>
        </is>
      </c>
      <c r="H462" s="7" t="inlineStr">
        <is>
          <t>2026-10-13T09:21:28+00:00 (file time)</t>
        </is>
      </c>
      <c r="I462" s="7" t="inlineStr">
        <is>
          <t>04540adc4f16226c30886eecd8a6bb199bb89ab7ca08a8f88dfa3d4694b4af1c</t>
        </is>
      </c>
      <c r="J462" s="7" t="inlineStr">
        <is>
          <t>registry</t>
        </is>
      </c>
      <c r="K462" s="7" t="inlineStr">
        <is>
          <t>local / reproducible-only (git-ignored)</t>
        </is>
      </c>
    </row>
    <row r="463">
      <c r="A463" s="7" t="inlineStr">
        <is>
          <t>ver.pytest.passed</t>
        </is>
      </c>
      <c r="B463" s="7" t="inlineStr">
        <is>
          <t>Final ledger (f073a10): backend pytest (complete), passed</t>
        </is>
      </c>
      <c r="C463" s="7" t="n">
        <v>221</v>
      </c>
      <c r="D463" s="7" t="inlineStr">
        <is>
          <t>tests</t>
        </is>
      </c>
      <c r="E463" s="7" t="inlineStr">
        <is>
          <t>ledger</t>
        </is>
      </c>
      <c r="F463" s="7" t="inlineStr">
        <is>
          <t>reports/verification/final_2026-10-22_145326Z/ledger.json</t>
        </is>
      </c>
      <c r="G463" s="7" t="inlineStr">
        <is>
          <t>/entries[0]/counts/passed</t>
        </is>
      </c>
      <c r="H463" s="7" t="inlineStr">
        <is>
          <t>2026-10-22T14:57:27+00:00</t>
        </is>
      </c>
      <c r="I463" s="7" t="inlineStr">
        <is>
          <t>d2ff869f33cf502aec76d7f20261b8030457aa9b82efae03b478c139169e1447</t>
        </is>
      </c>
      <c r="J463" s="7" t="inlineStr">
        <is>
          <t>scripts/verification_ledger.py</t>
        </is>
      </c>
      <c r="K463" s="7" t="inlineStr">
        <is>
          <t>public in repo (tracked)</t>
        </is>
      </c>
    </row>
    <row r="464">
      <c r="A464" s="7" t="inlineStr">
        <is>
          <t>ver.pytest.skipped</t>
        </is>
      </c>
      <c r="B464" s="7" t="inlineStr">
        <is>
          <t>Final ledger (f073a10): backend pytest (complete), skipped</t>
        </is>
      </c>
      <c r="C464" s="7" t="n">
        <v>2</v>
      </c>
      <c r="D464" s="7" t="inlineStr">
        <is>
          <t>tests</t>
        </is>
      </c>
      <c r="E464" s="7" t="inlineStr">
        <is>
          <t>ledger</t>
        </is>
      </c>
      <c r="F464" s="7" t="inlineStr">
        <is>
          <t>reports/verification/final_2026-10-22_145326Z/ledger.json</t>
        </is>
      </c>
      <c r="G464" s="7" t="inlineStr">
        <is>
          <t>/entries[0]/counts/skipped</t>
        </is>
      </c>
      <c r="H464" s="7" t="inlineStr">
        <is>
          <t>2026-10-22T14:57:27+00:00</t>
        </is>
      </c>
      <c r="I464" s="7" t="inlineStr">
        <is>
          <t>d2ff869f33cf502aec76d7f20261b8030457aa9b82efae03b478c139169e1447</t>
        </is>
      </c>
      <c r="J464" s="7" t="inlineStr">
        <is>
          <t>scripts/verification_ledger.py</t>
        </is>
      </c>
      <c r="K464" s="7" t="inlineStr">
        <is>
          <t>public in repo (tracked)</t>
        </is>
      </c>
    </row>
    <row r="465">
      <c r="A465" s="7" t="inlineStr">
        <is>
          <t>ver.pytest.failed</t>
        </is>
      </c>
      <c r="B465" s="7" t="inlineStr">
        <is>
          <t>Final ledger (f073a10): backend pytest (complete), failed</t>
        </is>
      </c>
      <c r="C465" s="7" t="n">
        <v>0</v>
      </c>
      <c r="D465" s="7" t="inlineStr">
        <is>
          <t>tests</t>
        </is>
      </c>
      <c r="E465" s="7" t="inlineStr">
        <is>
          <t>ledger</t>
        </is>
      </c>
      <c r="F465" s="7" t="inlineStr">
        <is>
          <t>reports/verification/final_2026-10-22_145326Z/ledger.json</t>
        </is>
      </c>
      <c r="G465" s="7" t="inlineStr">
        <is>
          <t>/entries[0]/counts/failed</t>
        </is>
      </c>
      <c r="H465" s="7" t="inlineStr">
        <is>
          <t>2026-10-22T14:57:27+00:00</t>
        </is>
      </c>
      <c r="I465" s="7" t="inlineStr">
        <is>
          <t>d2ff869f33cf502aec76d7f20261b8030457aa9b82efae03b478c139169e1447</t>
        </is>
      </c>
      <c r="J465" s="7" t="inlineStr">
        <is>
          <t>scripts/verification_ledger.py</t>
        </is>
      </c>
      <c r="K465" s="7" t="inlineStr">
        <is>
          <t>public in repo (tracked)</t>
        </is>
      </c>
    </row>
    <row r="466">
      <c r="A466" s="7" t="inlineStr">
        <is>
          <t>ver.vitest.passed</t>
        </is>
      </c>
      <c r="B466" s="7" t="inlineStr">
        <is>
          <t>Final ledger (f073a10): frontend unit (vitest), passed</t>
        </is>
      </c>
      <c r="C466" s="7" t="n">
        <v>141</v>
      </c>
      <c r="D466" s="7" t="inlineStr">
        <is>
          <t>tests</t>
        </is>
      </c>
      <c r="E466" s="7" t="inlineStr">
        <is>
          <t>ledger</t>
        </is>
      </c>
      <c r="F466" s="7" t="inlineStr">
        <is>
          <t>reports/verification/final_2026-10-22_145326Z/ledger.json</t>
        </is>
      </c>
      <c r="G466" s="7" t="inlineStr">
        <is>
          <t>/entries[3]/counts/passed</t>
        </is>
      </c>
      <c r="H466" s="7" t="inlineStr">
        <is>
          <t>2026-10-22T14:57:27+00:00</t>
        </is>
      </c>
      <c r="I466" s="7" t="inlineStr">
        <is>
          <t>d2ff869f33cf502aec76d7f20261b8030457aa9b82efae03b478c139169e1447</t>
        </is>
      </c>
      <c r="J466" s="7" t="inlineStr">
        <is>
          <t>scripts/verification_ledger.py</t>
        </is>
      </c>
      <c r="K466" s="7" t="inlineStr">
        <is>
          <t>public in repo (tracked)</t>
        </is>
      </c>
    </row>
    <row r="467">
      <c r="A467" s="7" t="inlineStr">
        <is>
          <t>ver.vitest.skipped</t>
        </is>
      </c>
      <c r="B467" s="7" t="inlineStr">
        <is>
          <t>Final ledger (f073a10): frontend unit (vitest), skipped</t>
        </is>
      </c>
      <c r="C467" s="7" t="n">
        <v>0</v>
      </c>
      <c r="D467" s="7" t="inlineStr">
        <is>
          <t>tests</t>
        </is>
      </c>
      <c r="E467" s="7" t="inlineStr">
        <is>
          <t>ledger</t>
        </is>
      </c>
      <c r="F467" s="7" t="inlineStr">
        <is>
          <t>reports/verification/final_2026-10-22_145326Z/ledger.json</t>
        </is>
      </c>
      <c r="G467" s="7" t="inlineStr">
        <is>
          <t>/entries[3]/counts/skipped</t>
        </is>
      </c>
      <c r="H467" s="7" t="inlineStr">
        <is>
          <t>2026-10-22T14:57:27+00:00</t>
        </is>
      </c>
      <c r="I467" s="7" t="inlineStr">
        <is>
          <t>d2ff869f33cf502aec76d7f20261b8030457aa9b82efae03b478c139169e1447</t>
        </is>
      </c>
      <c r="J467" s="7" t="inlineStr">
        <is>
          <t>scripts/verification_ledger.py</t>
        </is>
      </c>
      <c r="K467" s="7" t="inlineStr">
        <is>
          <t>public in repo (tracked)</t>
        </is>
      </c>
    </row>
    <row r="468">
      <c r="A468" s="7" t="inlineStr">
        <is>
          <t>ver.vitest.failed</t>
        </is>
      </c>
      <c r="B468" s="7" t="inlineStr">
        <is>
          <t>Final ledger (f073a10): frontend unit (vitest), failed</t>
        </is>
      </c>
      <c r="C468" s="7" t="n">
        <v>0</v>
      </c>
      <c r="D468" s="7" t="inlineStr">
        <is>
          <t>tests</t>
        </is>
      </c>
      <c r="E468" s="7" t="inlineStr">
        <is>
          <t>ledger</t>
        </is>
      </c>
      <c r="F468" s="7" t="inlineStr">
        <is>
          <t>reports/verification/final_2026-10-22_145326Z/ledger.json</t>
        </is>
      </c>
      <c r="G468" s="7" t="inlineStr">
        <is>
          <t>/entries[3]/counts/failed</t>
        </is>
      </c>
      <c r="H468" s="7" t="inlineStr">
        <is>
          <t>2026-10-22T14:57:27+00:00</t>
        </is>
      </c>
      <c r="I468" s="7" t="inlineStr">
        <is>
          <t>d2ff869f33cf502aec76d7f20261b8030457aa9b82efae03b478c139169e1447</t>
        </is>
      </c>
      <c r="J468" s="7" t="inlineStr">
        <is>
          <t>scripts/verification_ledger.py</t>
        </is>
      </c>
      <c r="K468" s="7" t="inlineStr">
        <is>
          <t>public in repo (tracked)</t>
        </is>
      </c>
    </row>
    <row r="469">
      <c r="A469" s="7" t="inlineStr">
        <is>
          <t>ver.e2e.passed</t>
        </is>
      </c>
      <c r="B469" s="7" t="inlineStr">
        <is>
          <t>Final ledger (f073a10): e2e normal + recorded judge journeys, passed</t>
        </is>
      </c>
      <c r="C469" s="7" t="n">
        <v>29</v>
      </c>
      <c r="D469" s="7" t="inlineStr">
        <is>
          <t>tests</t>
        </is>
      </c>
      <c r="E469" s="7" t="inlineStr">
        <is>
          <t>ledger</t>
        </is>
      </c>
      <c r="F469" s="7" t="inlineStr">
        <is>
          <t>reports/verification/final_2026-10-22_145326Z/ledger.json</t>
        </is>
      </c>
      <c r="G469" s="7" t="inlineStr">
        <is>
          <t>/entries[5]/counts/passed</t>
        </is>
      </c>
      <c r="H469" s="7" t="inlineStr">
        <is>
          <t>2026-10-22T14:57:27+00:00</t>
        </is>
      </c>
      <c r="I469" s="7" t="inlineStr">
        <is>
          <t>d2ff869f33cf502aec76d7f20261b8030457aa9b82efae03b478c139169e1447</t>
        </is>
      </c>
      <c r="J469" s="7" t="inlineStr">
        <is>
          <t>scripts/verification_ledger.py</t>
        </is>
      </c>
      <c r="K469" s="7" t="inlineStr">
        <is>
          <t>public in repo (tracked)</t>
        </is>
      </c>
    </row>
    <row r="470">
      <c r="A470" s="7" t="inlineStr">
        <is>
          <t>ver.e2e.skipped</t>
        </is>
      </c>
      <c r="B470" s="7" t="inlineStr">
        <is>
          <t>Final ledger (f073a10): e2e normal + recorded judge journeys, skipped</t>
        </is>
      </c>
      <c r="C470" s="7" t="n">
        <v>0</v>
      </c>
      <c r="D470" s="7" t="inlineStr">
        <is>
          <t>tests</t>
        </is>
      </c>
      <c r="E470" s="7" t="inlineStr">
        <is>
          <t>ledger</t>
        </is>
      </c>
      <c r="F470" s="7" t="inlineStr">
        <is>
          <t>reports/verification/final_2026-10-22_145326Z/ledger.json</t>
        </is>
      </c>
      <c r="G470" s="7" t="inlineStr">
        <is>
          <t>/entries[5]/counts/skipped</t>
        </is>
      </c>
      <c r="H470" s="7" t="inlineStr">
        <is>
          <t>2026-10-22T14:57:27+00:00</t>
        </is>
      </c>
      <c r="I470" s="7" t="inlineStr">
        <is>
          <t>d2ff869f33cf502aec76d7f20261b8030457aa9b82efae03b478c139169e1447</t>
        </is>
      </c>
      <c r="J470" s="7" t="inlineStr">
        <is>
          <t>scripts/verification_ledger.py</t>
        </is>
      </c>
      <c r="K470" s="7" t="inlineStr">
        <is>
          <t>public in repo (tracked)</t>
        </is>
      </c>
    </row>
    <row r="471">
      <c r="A471" s="7" t="inlineStr">
        <is>
          <t>ver.e2e.failed</t>
        </is>
      </c>
      <c r="B471" s="7" t="inlineStr">
        <is>
          <t>Final ledger (f073a10): e2e normal + recorded judge journeys, failed</t>
        </is>
      </c>
      <c r="C471" s="7" t="n">
        <v>0</v>
      </c>
      <c r="D471" s="7" t="inlineStr">
        <is>
          <t>tests</t>
        </is>
      </c>
      <c r="E471" s="7" t="inlineStr">
        <is>
          <t>ledger</t>
        </is>
      </c>
      <c r="F471" s="7" t="inlineStr">
        <is>
          <t>reports/verification/final_2026-10-22_145326Z/ledger.json</t>
        </is>
      </c>
      <c r="G471" s="7" t="inlineStr">
        <is>
          <t>/entries[5]/counts/failed</t>
        </is>
      </c>
      <c r="H471" s="7" t="inlineStr">
        <is>
          <t>2026-10-22T14:57:27+00:00</t>
        </is>
      </c>
      <c r="I471" s="7" t="inlineStr">
        <is>
          <t>d2ff869f33cf502aec76d7f20261b8030457aa9b82efae03b478c139169e1447</t>
        </is>
      </c>
      <c r="J471" s="7" t="inlineStr">
        <is>
          <t>scripts/verification_ledger.py</t>
        </is>
      </c>
      <c r="K471" s="7" t="inlineStr">
        <is>
          <t>public in repo (tracked)</t>
        </is>
      </c>
    </row>
    <row r="472">
      <c r="A472" s="7" t="inlineStr">
        <is>
          <t>ver.e2e_public.passed</t>
        </is>
      </c>
      <c r="B472" s="7" t="inlineStr">
        <is>
          <t>Final ledger (f073a10): e2e public mode (local, synthetic), passed</t>
        </is>
      </c>
      <c r="C472" s="7" t="n">
        <v>4</v>
      </c>
      <c r="D472" s="7" t="inlineStr">
        <is>
          <t>tests</t>
        </is>
      </c>
      <c r="E472" s="7" t="inlineStr">
        <is>
          <t>ledger</t>
        </is>
      </c>
      <c r="F472" s="7" t="inlineStr">
        <is>
          <t>reports/verification/final_2026-10-22_145326Z/ledger.json</t>
        </is>
      </c>
      <c r="G472" s="7" t="inlineStr">
        <is>
          <t>/entries[6]/counts/passed</t>
        </is>
      </c>
      <c r="H472" s="7" t="inlineStr">
        <is>
          <t>2026-10-22T14:57:27+00:00</t>
        </is>
      </c>
      <c r="I472" s="7" t="inlineStr">
        <is>
          <t>d2ff869f33cf502aec76d7f20261b8030457aa9b82efae03b478c139169e1447</t>
        </is>
      </c>
      <c r="J472" s="7" t="inlineStr">
        <is>
          <t>scripts/verification_ledger.py</t>
        </is>
      </c>
      <c r="K472" s="7" t="inlineStr">
        <is>
          <t>public in repo (tracked)</t>
        </is>
      </c>
    </row>
    <row r="473">
      <c r="A473" s="7" t="inlineStr">
        <is>
          <t>ver.e2e_public.skipped</t>
        </is>
      </c>
      <c r="B473" s="7" t="inlineStr">
        <is>
          <t>Final ledger (f073a10): e2e public mode (local, synthetic), skipped</t>
        </is>
      </c>
      <c r="C473" s="7" t="n">
        <v>0</v>
      </c>
      <c r="D473" s="7" t="inlineStr">
        <is>
          <t>tests</t>
        </is>
      </c>
      <c r="E473" s="7" t="inlineStr">
        <is>
          <t>ledger</t>
        </is>
      </c>
      <c r="F473" s="7" t="inlineStr">
        <is>
          <t>reports/verification/final_2026-10-22_145326Z/ledger.json</t>
        </is>
      </c>
      <c r="G473" s="7" t="inlineStr">
        <is>
          <t>/entries[6]/counts/skipped</t>
        </is>
      </c>
      <c r="H473" s="7" t="inlineStr">
        <is>
          <t>2026-10-22T14:57:27+00:00</t>
        </is>
      </c>
      <c r="I473" s="7" t="inlineStr">
        <is>
          <t>d2ff869f33cf502aec76d7f20261b8030457aa9b82efae03b478c139169e1447</t>
        </is>
      </c>
      <c r="J473" s="7" t="inlineStr">
        <is>
          <t>scripts/verification_ledger.py</t>
        </is>
      </c>
      <c r="K473" s="7" t="inlineStr">
        <is>
          <t>public in repo (tracked)</t>
        </is>
      </c>
    </row>
    <row r="474">
      <c r="A474" s="7" t="inlineStr">
        <is>
          <t>ver.e2e_public.failed</t>
        </is>
      </c>
      <c r="B474" s="7" t="inlineStr">
        <is>
          <t>Final ledger (f073a10): e2e public mode (local, synthetic), failed</t>
        </is>
      </c>
      <c r="C474" s="7" t="n">
        <v>0</v>
      </c>
      <c r="D474" s="7" t="inlineStr">
        <is>
          <t>tests</t>
        </is>
      </c>
      <c r="E474" s="7" t="inlineStr">
        <is>
          <t>ledger</t>
        </is>
      </c>
      <c r="F474" s="7" t="inlineStr">
        <is>
          <t>reports/verification/final_2026-10-22_145326Z/ledger.json</t>
        </is>
      </c>
      <c r="G474" s="7" t="inlineStr">
        <is>
          <t>/entries[6]/counts/failed</t>
        </is>
      </c>
      <c r="H474" s="7" t="inlineStr">
        <is>
          <t>2026-10-22T14:57:27+00:00</t>
        </is>
      </c>
      <c r="I474" s="7" t="inlineStr">
        <is>
          <t>d2ff869f33cf502aec76d7f20261b8030457aa9b82efae03b478c139169e1447</t>
        </is>
      </c>
      <c r="J474" s="7" t="inlineStr">
        <is>
          <t>scripts/verification_ledger.py</t>
        </is>
      </c>
      <c r="K474" s="7" t="inlineStr">
        <is>
          <t>public in repo (tracked)</t>
        </is>
      </c>
    </row>
    <row r="475">
      <c r="A475" s="7" t="inlineStr">
        <is>
          <t>ver.e2e_summary.passed</t>
        </is>
      </c>
      <c r="B475" s="7" t="inlineStr">
        <is>
          <t>Final ledger (f073a10): e2e summary/export, passed</t>
        </is>
      </c>
      <c r="C475" s="7" t="n">
        <v>3</v>
      </c>
      <c r="D475" s="7" t="inlineStr">
        <is>
          <t>tests</t>
        </is>
      </c>
      <c r="E475" s="7" t="inlineStr">
        <is>
          <t>ledger</t>
        </is>
      </c>
      <c r="F475" s="7" t="inlineStr">
        <is>
          <t>reports/verification/final_2026-10-22_145326Z/ledger.json</t>
        </is>
      </c>
      <c r="G475" s="7" t="inlineStr">
        <is>
          <t>/entries[7]/counts/passed</t>
        </is>
      </c>
      <c r="H475" s="7" t="inlineStr">
        <is>
          <t>2026-10-22T14:57:27+00:00</t>
        </is>
      </c>
      <c r="I475" s="7" t="inlineStr">
        <is>
          <t>d2ff869f33cf502aec76d7f20261b8030457aa9b82efae03b478c139169e1447</t>
        </is>
      </c>
      <c r="J475" s="7" t="inlineStr">
        <is>
          <t>scripts/verification_ledger.py</t>
        </is>
      </c>
      <c r="K475" s="7" t="inlineStr">
        <is>
          <t>public in repo (tracked)</t>
        </is>
      </c>
    </row>
    <row r="476">
      <c r="A476" s="7" t="inlineStr">
        <is>
          <t>ver.e2e_summary.skipped</t>
        </is>
      </c>
      <c r="B476" s="7" t="inlineStr">
        <is>
          <t>Final ledger (f073a10): e2e summary/export, skipped</t>
        </is>
      </c>
      <c r="C476" s="7" t="n">
        <v>0</v>
      </c>
      <c r="D476" s="7" t="inlineStr">
        <is>
          <t>tests</t>
        </is>
      </c>
      <c r="E476" s="7" t="inlineStr">
        <is>
          <t>ledger</t>
        </is>
      </c>
      <c r="F476" s="7" t="inlineStr">
        <is>
          <t>reports/verification/final_2026-10-22_145326Z/ledger.json</t>
        </is>
      </c>
      <c r="G476" s="7" t="inlineStr">
        <is>
          <t>/entries[7]/counts/skipped</t>
        </is>
      </c>
      <c r="H476" s="7" t="inlineStr">
        <is>
          <t>2026-10-22T14:57:27+00:00</t>
        </is>
      </c>
      <c r="I476" s="7" t="inlineStr">
        <is>
          <t>d2ff869f33cf502aec76d7f20261b8030457aa9b82efae03b478c139169e1447</t>
        </is>
      </c>
      <c r="J476" s="7" t="inlineStr">
        <is>
          <t>scripts/verification_ledger.py</t>
        </is>
      </c>
      <c r="K476" s="7" t="inlineStr">
        <is>
          <t>public in repo (tracked)</t>
        </is>
      </c>
    </row>
    <row r="477">
      <c r="A477" s="7" t="inlineStr">
        <is>
          <t>ver.e2e_summary.failed</t>
        </is>
      </c>
      <c r="B477" s="7" t="inlineStr">
        <is>
          <t>Final ledger (f073a10): e2e summary/export, failed</t>
        </is>
      </c>
      <c r="C477" s="7" t="n">
        <v>0</v>
      </c>
      <c r="D477" s="7" t="inlineStr">
        <is>
          <t>tests</t>
        </is>
      </c>
      <c r="E477" s="7" t="inlineStr">
        <is>
          <t>ledger</t>
        </is>
      </c>
      <c r="F477" s="7" t="inlineStr">
        <is>
          <t>reports/verification/final_2026-10-22_145326Z/ledger.json</t>
        </is>
      </c>
      <c r="G477" s="7" t="inlineStr">
        <is>
          <t>/entries[7]/counts/failed</t>
        </is>
      </c>
      <c r="H477" s="7" t="inlineStr">
        <is>
          <t>2026-10-22T14:57:27+00:00</t>
        </is>
      </c>
      <c r="I477" s="7" t="inlineStr">
        <is>
          <t>d2ff869f33cf502aec76d7f20261b8030457aa9b82efae03b478c139169e1447</t>
        </is>
      </c>
      <c r="J477" s="7" t="inlineStr">
        <is>
          <t>scripts/verification_ledger.py</t>
        </is>
      </c>
      <c r="K477" s="7" t="inlineStr">
        <is>
          <t>public in repo (tracked)</t>
        </is>
      </c>
    </row>
    <row r="478">
      <c r="A478" s="7" t="inlineStr">
        <is>
          <t>ver.commit</t>
        </is>
      </c>
      <c r="B478" s="7" t="inlineStr">
        <is>
          <t>Tested commit (final ledger)</t>
        </is>
      </c>
      <c r="C478" s="7" t="inlineStr">
        <is>
          <t>f073a10f02508f35145b8182bbae13127f7a479e</t>
        </is>
      </c>
      <c r="D478" s="7" t="inlineStr">
        <is>
          <t>text</t>
        </is>
      </c>
      <c r="E478" s="7" t="inlineStr">
        <is>
          <t>ledger</t>
        </is>
      </c>
      <c r="F478" s="7" t="inlineStr">
        <is>
          <t>reports/verification/final_2026-10-22_145326Z/ledger.json</t>
        </is>
      </c>
      <c r="G478" s="7" t="inlineStr">
        <is>
          <t>/snapshots[label=before]/revision/commit</t>
        </is>
      </c>
      <c r="H478" s="7" t="inlineStr">
        <is>
          <t>2026-10-22T14:57:27+00:00</t>
        </is>
      </c>
      <c r="I478" s="7" t="inlineStr">
        <is>
          <t>d2ff869f33cf502aec76d7f20261b8030457aa9b82efae03b478c139169e1447</t>
        </is>
      </c>
      <c r="J478" s="7" t="inlineStr">
        <is>
          <t>scripts/verification_ledger.py</t>
        </is>
      </c>
      <c r="K478" s="7" t="inlineStr">
        <is>
          <t>public in repo (tracked)</t>
        </is>
      </c>
    </row>
    <row r="479">
      <c r="A479" s="7" t="inlineStr">
        <is>
          <t>src.cgm.doi</t>
        </is>
      </c>
      <c r="B479" s="7" t="inlineStr">
        <is>
          <t>cgmacros DOI</t>
        </is>
      </c>
      <c r="C479" s="7" t="inlineStr">
        <is>
          <t>https://doi.org/10.13026/3z8q-x658</t>
        </is>
      </c>
      <c r="D479" s="7" t="inlineStr">
        <is>
          <t>text</t>
        </is>
      </c>
      <c r="E479" s="7" t="inlineStr">
        <is>
          <t>sources_yaml</t>
        </is>
      </c>
      <c r="F479" s="7" t="inlineStr">
        <is>
          <t>configs/sources.yaml</t>
        </is>
      </c>
      <c r="G479" s="7" t="inlineStr">
        <is>
          <t>sources.cgmacros.doi</t>
        </is>
      </c>
      <c r="H479" s="7" t="inlineStr">
        <is>
          <t>2026-10-12T19:30:15+05:30</t>
        </is>
      </c>
      <c r="I479" s="7" t="inlineStr">
        <is>
          <t>a36a4273ba8f592658d4c4c84cb52e7923aa611dc5d6a5dd5f9c114c33fef390</t>
        </is>
      </c>
      <c r="J479" s="7" t="inlineStr">
        <is>
          <t>source manifest</t>
        </is>
      </c>
      <c r="K479" s="7" t="inlineStr">
        <is>
          <t>public in repo (tracked)</t>
        </is>
      </c>
    </row>
    <row r="480">
      <c r="A480" s="7" t="inlineStr">
        <is>
          <t>src.cgm.license</t>
        </is>
      </c>
      <c r="B480" s="7" t="inlineStr">
        <is>
          <t>cgmacros licence</t>
        </is>
      </c>
      <c r="C480" s="7" t="inlineStr">
        <is>
          <t>CC BY-NC-SA 4.0</t>
        </is>
      </c>
      <c r="D480" s="7" t="inlineStr">
        <is>
          <t>text</t>
        </is>
      </c>
      <c r="E480" s="7" t="inlineStr">
        <is>
          <t>sources_yaml</t>
        </is>
      </c>
      <c r="F480" s="7" t="inlineStr">
        <is>
          <t>configs/sources.yaml</t>
        </is>
      </c>
      <c r="G480" s="7" t="inlineStr">
        <is>
          <t>sources.cgmacros.license</t>
        </is>
      </c>
      <c r="H480" s="7" t="inlineStr">
        <is>
          <t>2026-10-12T19:30:15+05:30</t>
        </is>
      </c>
      <c r="I480" s="7" t="inlineStr">
        <is>
          <t>a36a4273ba8f592658d4c4c84cb52e7923aa611dc5d6a5dd5f9c114c33fef390</t>
        </is>
      </c>
      <c r="J480" s="7" t="inlineStr">
        <is>
          <t>source manifest</t>
        </is>
      </c>
      <c r="K480" s="7" t="inlineStr">
        <is>
          <t>public in repo (tracked)</t>
        </is>
      </c>
    </row>
    <row r="481">
      <c r="A481" s="7" t="inlineStr">
        <is>
          <t>src.cgm.version</t>
        </is>
      </c>
      <c r="B481" s="7" t="inlineStr">
        <is>
          <t>cgmacros release</t>
        </is>
      </c>
      <c r="C481" s="7" t="inlineStr">
        <is>
          <t>1.0.0</t>
        </is>
      </c>
      <c r="D481" s="7" t="inlineStr">
        <is>
          <t>text</t>
        </is>
      </c>
      <c r="E481" s="7" t="inlineStr">
        <is>
          <t>sources_yaml</t>
        </is>
      </c>
      <c r="F481" s="7" t="inlineStr">
        <is>
          <t>configs/sources.yaml</t>
        </is>
      </c>
      <c r="G481" s="7" t="inlineStr">
        <is>
          <t>sources.cgmacros.release</t>
        </is>
      </c>
      <c r="H481" s="7" t="inlineStr">
        <is>
          <t>2026-10-12T19:30:15+05:30</t>
        </is>
      </c>
      <c r="I481" s="7" t="inlineStr">
        <is>
          <t>a36a4273ba8f592658d4c4c84cb52e7923aa611dc5d6a5dd5f9c114c33fef390</t>
        </is>
      </c>
      <c r="J481" s="7" t="inlineStr">
        <is>
          <t>source manifest</t>
        </is>
      </c>
      <c r="K481" s="7" t="inlineStr">
        <is>
          <t>public in repo (tracked)</t>
        </is>
      </c>
    </row>
    <row r="482">
      <c r="A482" s="7" t="inlineStr">
        <is>
          <t>src.sh.doi</t>
        </is>
      </c>
      <c r="B482" s="7" t="inlineStr">
        <is>
          <t>shanghai_t2dm DOI</t>
        </is>
      </c>
      <c r="C482" s="7" t="inlineStr">
        <is>
          <t>https://doi.org/10.6084/m9.figshare.21600933.v5</t>
        </is>
      </c>
      <c r="D482" s="7" t="inlineStr">
        <is>
          <t>text</t>
        </is>
      </c>
      <c r="E482" s="7" t="inlineStr">
        <is>
          <t>sources_yaml</t>
        </is>
      </c>
      <c r="F482" s="7" t="inlineStr">
        <is>
          <t>configs/sources.yaml</t>
        </is>
      </c>
      <c r="G482" s="7" t="inlineStr">
        <is>
          <t>sources.shanghai_t2dm.doi</t>
        </is>
      </c>
      <c r="H482" s="7" t="inlineStr">
        <is>
          <t>2026-10-12T19:30:15+05:30</t>
        </is>
      </c>
      <c r="I482" s="7" t="inlineStr">
        <is>
          <t>a36a4273ba8f592658d4c4c84cb52e7923aa611dc5d6a5dd5f9c114c33fef390</t>
        </is>
      </c>
      <c r="J482" s="7" t="inlineStr">
        <is>
          <t>source manifest</t>
        </is>
      </c>
      <c r="K482" s="7" t="inlineStr">
        <is>
          <t>public in repo (tracked)</t>
        </is>
      </c>
    </row>
    <row r="483">
      <c r="A483" s="7" t="inlineStr">
        <is>
          <t>src.sh.license</t>
        </is>
      </c>
      <c r="B483" s="7" t="inlineStr">
        <is>
          <t>shanghai_t2dm licence</t>
        </is>
      </c>
      <c r="C483" s="7" t="inlineStr">
        <is>
          <t>CC BY 4.0</t>
        </is>
      </c>
      <c r="D483" s="7" t="inlineStr">
        <is>
          <t>text</t>
        </is>
      </c>
      <c r="E483" s="7" t="inlineStr">
        <is>
          <t>sources_yaml</t>
        </is>
      </c>
      <c r="F483" s="7" t="inlineStr">
        <is>
          <t>configs/sources.yaml</t>
        </is>
      </c>
      <c r="G483" s="7" t="inlineStr">
        <is>
          <t>sources.shanghai_t2dm.license</t>
        </is>
      </c>
      <c r="H483" s="7" t="inlineStr">
        <is>
          <t>2026-10-12T19:30:15+05:30</t>
        </is>
      </c>
      <c r="I483" s="7" t="inlineStr">
        <is>
          <t>a36a4273ba8f592658d4c4c84cb52e7923aa611dc5d6a5dd5f9c114c33fef390</t>
        </is>
      </c>
      <c r="J483" s="7" t="inlineStr">
        <is>
          <t>source manifest</t>
        </is>
      </c>
      <c r="K483" s="7" t="inlineStr">
        <is>
          <t>public in repo (tracked)</t>
        </is>
      </c>
    </row>
    <row r="484">
      <c r="A484" s="7" t="inlineStr">
        <is>
          <t>src.sh.version</t>
        </is>
      </c>
      <c r="B484" s="7" t="inlineStr">
        <is>
          <t>shanghai_t2dm release</t>
        </is>
      </c>
      <c r="C484" s="7" t="inlineStr">
        <is>
          <t>figshare 21600933 v5 (2023-10-30)</t>
        </is>
      </c>
      <c r="D484" s="7" t="inlineStr">
        <is>
          <t>text</t>
        </is>
      </c>
      <c r="E484" s="7" t="inlineStr">
        <is>
          <t>sources_yaml</t>
        </is>
      </c>
      <c r="F484" s="7" t="inlineStr">
        <is>
          <t>configs/sources.yaml</t>
        </is>
      </c>
      <c r="G484" s="7" t="inlineStr">
        <is>
          <t>sources.shanghai_t2dm.release</t>
        </is>
      </c>
      <c r="H484" s="7" t="inlineStr">
        <is>
          <t>2026-10-12T19:30:15+05:30</t>
        </is>
      </c>
      <c r="I484" s="7" t="inlineStr">
        <is>
          <t>a36a4273ba8f592658d4c4c84cb52e7923aa611dc5d6a5dd5f9c114c33fef390</t>
        </is>
      </c>
      <c r="J484" s="7" t="inlineStr">
        <is>
          <t>source manifest</t>
        </is>
      </c>
      <c r="K484" s="7" t="inlineStr">
        <is>
          <t>public in repo (tracked)</t>
        </is>
      </c>
    </row>
    <row r="485">
      <c r="A485" s="7" t="inlineStr">
        <is>
          <t>src.cgm.publisher_n</t>
        </is>
      </c>
      <c r="B485" s="7" t="inlineStr">
        <is>
          <t>CGMacros participants per the publisher</t>
        </is>
      </c>
      <c r="C485" s="7" t="n">
        <v>45</v>
      </c>
      <c r="D485" s="7" t="inlineStr">
        <is>
          <t>people</t>
        </is>
      </c>
      <c r="E485" s="7" t="inlineStr">
        <is>
          <t>sources_yaml</t>
        </is>
      </c>
      <c r="F485" s="7" t="inlineStr">
        <is>
          <t>configs/sources.yaml</t>
        </is>
      </c>
      <c r="G485" s="7" t="inlineStr">
        <is>
          <t>sources.cgmacros.publisher_participants</t>
        </is>
      </c>
      <c r="H485" s="7" t="inlineStr">
        <is>
          <t>2026-10-12T19:30:15+05:30</t>
        </is>
      </c>
      <c r="I485" s="7" t="inlineStr">
        <is>
          <t>a36a4273ba8f592658d4c4c84cb52e7923aa611dc5d6a5dd5f9c114c33fef390</t>
        </is>
      </c>
      <c r="J485" s="7" t="inlineStr">
        <is>
          <t>source manifest</t>
        </is>
      </c>
      <c r="K485" s="7" t="inlineStr">
        <is>
          <t>public in repo (tracked)</t>
        </is>
      </c>
    </row>
    <row r="486">
      <c r="A486" s="7" t="inlineStr">
        <is>
          <t>cfg.threshold</t>
        </is>
      </c>
      <c r="B486" s="7" t="inlineStr">
        <is>
          <t>Event threshold (strictly greater than)</t>
        </is>
      </c>
      <c r="C486" s="7" t="n">
        <v>180</v>
      </c>
      <c r="D486" s="7" t="inlineStr">
        <is>
          <t>mg/dL</t>
        </is>
      </c>
      <c r="E486" s="7" t="inlineStr">
        <is>
          <t>experiment_yaml</t>
        </is>
      </c>
      <c r="F486" s="7" t="inlineStr">
        <is>
          <t>configs/experiment.yaml</t>
        </is>
      </c>
      <c r="G486" s="7" t="inlineStr">
        <is>
          <t>events.threshold_mg_dl</t>
        </is>
      </c>
      <c r="H486" s="7" t="inlineStr">
        <is>
          <t>2026-10-12T20:41:34+05:30</t>
        </is>
      </c>
      <c r="I486" s="7" t="inlineStr">
        <is>
          <t>3e640522905f126ded7524679c0b8bf53709b7d5f8c6e329624e3994d00703df</t>
        </is>
      </c>
      <c r="J486" s="7" t="inlineStr">
        <is>
          <t>experiment config</t>
        </is>
      </c>
      <c r="K486" s="7" t="inlineStr">
        <is>
          <t>public in repo (tracked)</t>
        </is>
      </c>
    </row>
    <row r="487">
      <c r="A487" s="7" t="inlineStr">
        <is>
          <t>cfg.confirm</t>
        </is>
      </c>
      <c r="B487" s="7" t="inlineStr">
        <is>
          <t>Minutes above threshold to confirm an episode</t>
        </is>
      </c>
      <c r="C487" s="7" t="n">
        <v>15</v>
      </c>
      <c r="D487" s="7" t="inlineStr">
        <is>
          <t>min</t>
        </is>
      </c>
      <c r="E487" s="7" t="inlineStr">
        <is>
          <t>experiment_yaml</t>
        </is>
      </c>
      <c r="F487" s="7" t="inlineStr">
        <is>
          <t>configs/experiment.yaml</t>
        </is>
      </c>
      <c r="G487" s="7" t="inlineStr">
        <is>
          <t>events.confirm_minutes</t>
        </is>
      </c>
      <c r="H487" s="7" t="inlineStr">
        <is>
          <t>2026-10-12T20:41:34+05:30</t>
        </is>
      </c>
      <c r="I487" s="7" t="inlineStr">
        <is>
          <t>3e640522905f126ded7524679c0b8bf53709b7d5f8c6e329624e3994d00703df</t>
        </is>
      </c>
      <c r="J487" s="7" t="inlineStr">
        <is>
          <t>experiment config</t>
        </is>
      </c>
      <c r="K487" s="7" t="inlineStr">
        <is>
          <t>public in repo (tracked)</t>
        </is>
      </c>
    </row>
    <row r="488">
      <c r="A488" s="7" t="inlineStr">
        <is>
          <t>cfg.stale</t>
        </is>
      </c>
      <c r="B488" s="7" t="inlineStr">
        <is>
          <t>Stale after this many minutes without a reading</t>
        </is>
      </c>
      <c r="C488" s="7" t="n">
        <v>15</v>
      </c>
      <c r="D488" s="7" t="inlineStr">
        <is>
          <t>min</t>
        </is>
      </c>
      <c r="E488" s="7" t="inlineStr">
        <is>
          <t>experiment_yaml</t>
        </is>
      </c>
      <c r="F488" s="7" t="inlineStr">
        <is>
          <t>configs/experiment.yaml</t>
        </is>
      </c>
      <c r="G488" s="7" t="inlineStr">
        <is>
          <t>features.stale_threshold_minutes</t>
        </is>
      </c>
      <c r="H488" s="7" t="inlineStr">
        <is>
          <t>2026-10-12T20:41:34+05:30</t>
        </is>
      </c>
      <c r="I488" s="7" t="inlineStr">
        <is>
          <t>3e640522905f126ded7524679c0b8bf53709b7d5f8c6e329624e3994d00703df</t>
        </is>
      </c>
      <c r="J488" s="7" t="inlineStr">
        <is>
          <t>experiment config</t>
        </is>
      </c>
      <c r="K488" s="7" t="inlineStr">
        <is>
          <t>public in repo (tracked)</t>
        </is>
      </c>
    </row>
    <row r="489">
      <c r="A489" s="7" t="inlineStr">
        <is>
          <t>cfg.lookback</t>
        </is>
      </c>
      <c r="B489" s="7" t="inlineStr">
        <is>
          <t>Feature lookback window</t>
        </is>
      </c>
      <c r="C489" s="7" t="n">
        <v>180</v>
      </c>
      <c r="D489" s="7" t="inlineStr">
        <is>
          <t>min</t>
        </is>
      </c>
      <c r="E489" s="7" t="inlineStr">
        <is>
          <t>experiment_yaml</t>
        </is>
      </c>
      <c r="F489" s="7" t="inlineStr">
        <is>
          <t>configs/experiment.yaml</t>
        </is>
      </c>
      <c r="G489" s="7" t="inlineStr">
        <is>
          <t>features.lookback_minutes</t>
        </is>
      </c>
      <c r="H489" s="7" t="inlineStr">
        <is>
          <t>2026-10-12T20:41:34+05:30</t>
        </is>
      </c>
      <c r="I489" s="7" t="inlineStr">
        <is>
          <t>3e640522905f126ded7524679c0b8bf53709b7d5f8c6e329624e3994d00703df</t>
        </is>
      </c>
      <c r="J489" s="7" t="inlineStr">
        <is>
          <t>experiment config</t>
        </is>
      </c>
      <c r="K489" s="7" t="inlineStr">
        <is>
          <t>public in repo (tracked)</t>
        </is>
      </c>
    </row>
    <row r="490">
      <c r="A490" s="7" t="inlineStr">
        <is>
          <t>cfg.reset_gap</t>
        </is>
      </c>
      <c r="B490" s="7" t="inlineStr">
        <is>
          <t>Correction resets after a gap of this length</t>
        </is>
      </c>
      <c r="C490" s="7" t="n">
        <v>180</v>
      </c>
      <c r="D490" s="7" t="inlineStr">
        <is>
          <t>min</t>
        </is>
      </c>
      <c r="E490" s="7" t="inlineStr">
        <is>
          <t>experiment_yaml</t>
        </is>
      </c>
      <c r="F490" s="7" t="inlineStr">
        <is>
          <t>configs/experiment.yaml</t>
        </is>
      </c>
      <c r="G490" s="7" t="inlineStr">
        <is>
          <t>adaptation.reset_gap_minutes</t>
        </is>
      </c>
      <c r="H490" s="7" t="inlineStr">
        <is>
          <t>2026-10-12T20:41:34+05:30</t>
        </is>
      </c>
      <c r="I490" s="7" t="inlineStr">
        <is>
          <t>3e640522905f126ded7524679c0b8bf53709b7d5f8c6e329624e3994d00703df</t>
        </is>
      </c>
      <c r="J490" s="7" t="inlineStr">
        <is>
          <t>experiment config</t>
        </is>
      </c>
      <c r="K490" s="7" t="inlineStr">
        <is>
          <t>public in repo (tracked)</t>
        </is>
      </c>
    </row>
    <row r="491">
      <c r="A491" s="7" t="inlineStr">
        <is>
          <t>const.min_per_day</t>
        </is>
      </c>
      <c r="B491" s="7" t="inlineStr">
        <is>
          <t>Minutes in a day (definition)</t>
        </is>
      </c>
      <c r="C491" s="7" t="n">
        <v>1440</v>
      </c>
      <c r="D491" s="7" t="inlineStr">
        <is>
          <t>min</t>
        </is>
      </c>
      <c r="E491" s="7" t="inlineStr">
        <is>
          <t>experiment_yaml</t>
        </is>
      </c>
      <c r="F491" s="7" t="inlineStr">
        <is>
          <t>configs/experiment.yaml</t>
        </is>
      </c>
      <c r="G491" s="7" t="inlineStr">
        <is>
          <t>constant: minutes per day</t>
        </is>
      </c>
      <c r="H491" s="7" t="inlineStr">
        <is>
          <t>2026-10-12T20:41:34+05:30</t>
        </is>
      </c>
      <c r="I491" s="7" t="inlineStr">
        <is>
          <t>3e640522905f126ded7524679c0b8bf53709b7d5f8c6e329624e3994d00703df</t>
        </is>
      </c>
      <c r="J491" s="7" t="inlineStr">
        <is>
          <t>experiment config</t>
        </is>
      </c>
      <c r="K491" s="7" t="inlineStr">
        <is>
          <t>public in repo (tracked)</t>
        </is>
      </c>
    </row>
    <row r="492">
      <c r="A492" s="7" t="inlineStr">
        <is>
          <t>const.cadence</t>
        </is>
      </c>
      <c r="B492" s="7" t="inlineStr">
        <is>
          <t>Dexcom G6 Pro native cadence</t>
        </is>
      </c>
      <c r="C492" s="7" t="n">
        <v>5</v>
      </c>
      <c r="D492" s="7" t="inlineStr">
        <is>
          <t>min</t>
        </is>
      </c>
      <c r="E492" s="7" t="inlineStr">
        <is>
          <t>sources_yaml</t>
        </is>
      </c>
      <c r="F492" s="7" t="inlineStr">
        <is>
          <t>configs/sources.yaml</t>
        </is>
      </c>
      <c r="G492" s="7" t="inlineStr">
        <is>
          <t>sources.cgmacros.devices[dexcom_g6_pro].native_cadence_minutes</t>
        </is>
      </c>
      <c r="H492" s="7" t="inlineStr">
        <is>
          <t>2026-10-12T19:30:15+05:30</t>
        </is>
      </c>
      <c r="I492" s="7" t="inlineStr">
        <is>
          <t>a36a4273ba8f592658d4c4c84cb52e7923aa611dc5d6a5dd5f9c114c33fef390</t>
        </is>
      </c>
      <c r="J492" s="7" t="inlineStr">
        <is>
          <t>source manifest</t>
        </is>
      </c>
      <c r="K492" s="7" t="inlineStr">
        <is>
          <t>public in repo (tracked)</t>
        </is>
      </c>
    </row>
    <row r="493">
      <c r="A493" s="7" t="inlineStr">
        <is>
          <t>const.target_cov</t>
        </is>
      </c>
      <c r="B493" s="7" t="inlineStr">
        <is>
          <t>Declared prediction-range target coverage</t>
        </is>
      </c>
      <c r="C493" s="8" t="n">
        <v>0.8</v>
      </c>
      <c r="D493" s="7" t="inlineStr">
        <is>
          <t>share</t>
        </is>
      </c>
      <c r="E493" s="7" t="inlineStr">
        <is>
          <t>experiment_yaml</t>
        </is>
      </c>
      <c r="F493" s="7" t="inlineStr">
        <is>
          <t>configs/experiment.yaml</t>
        </is>
      </c>
      <c r="G493" s="7" t="inlineStr">
        <is>
          <t>intervals level 0.8 (declared target coverage)</t>
        </is>
      </c>
      <c r="H493" s="7" t="inlineStr">
        <is>
          <t>2026-10-12T20:41:34+05:30</t>
        </is>
      </c>
      <c r="I493" s="7" t="inlineStr">
        <is>
          <t>3e640522905f126ded7524679c0b8bf53709b7d5f8c6e329624e3994d00703df</t>
        </is>
      </c>
      <c r="J493" s="7" t="inlineStr">
        <is>
          <t>experiment config</t>
        </is>
      </c>
      <c r="K493" s="7" t="inlineStr">
        <is>
          <t>public in repo (tracked)</t>
        </is>
      </c>
    </row>
    <row r="494">
      <c r="A494" s="7" t="inlineStr">
        <is>
          <t>sel.lightgbm_dyn-prof-v2.selection_mae_30</t>
        </is>
      </c>
      <c r="B494" s="7" t="inlineStr">
        <is>
          <t>Serving experiment selection (validation segment, population model): lightgbm:dyn-prof-v2, validation MAE 30</t>
        </is>
      </c>
      <c r="C494" s="8" t="n">
        <v>13.46935266269378</v>
      </c>
      <c r="D494" s="7" t="inlineStr">
        <is>
          <t>mg/dL</t>
        </is>
      </c>
      <c r="E494" s="7" t="inlineStr">
        <is>
          <t>fusion</t>
        </is>
      </c>
      <c r="F494" s="7" t="inlineStr">
        <is>
          <t>artifacts/experiments/gt-primary-2026-10-13-fusion/metrics.json</t>
        </is>
      </c>
      <c r="G494" s="7" t="inlineStr">
        <is>
          <t>/selection/candidates[label=lightgbm:dyn-prof-v2]/selection_mae_30</t>
        </is>
      </c>
      <c r="H494" s="7" t="inlineStr">
        <is>
          <t>2026-10-13T08:02:25+00:00</t>
        </is>
      </c>
      <c r="I494" s="7" t="inlineStr">
        <is>
          <t>ec8d2e7aedb517e73fdb75284a8dea24bdb8de4b4f98257c6186d2cea56152d9</t>
        </is>
      </c>
      <c r="J494" s="7" t="inlineStr">
        <is>
          <t>protocol configs/experiments/gt-primary-2026-10-13-fusion.yaml (first commit b60d149 2026-10-13T13:32:50+05:30)</t>
        </is>
      </c>
      <c r="K494" s="7" t="inlineStr">
        <is>
          <t>local / reproducible-only (git-ignored)</t>
        </is>
      </c>
    </row>
    <row r="495">
      <c r="A495" s="7" t="inlineStr">
        <is>
          <t>sel.lightgbm_dyn-prof-v2.selection_mae_60</t>
        </is>
      </c>
      <c r="B495" s="7" t="inlineStr">
        <is>
          <t>Serving experiment selection (validation segment, population model): lightgbm:dyn-prof-v2, validation MAE 60</t>
        </is>
      </c>
      <c r="C495" s="8" t="n">
        <v>21.25630246192464</v>
      </c>
      <c r="D495" s="7" t="inlineStr">
        <is>
          <t>mg/dL</t>
        </is>
      </c>
      <c r="E495" s="7" t="inlineStr">
        <is>
          <t>fusion</t>
        </is>
      </c>
      <c r="F495" s="7" t="inlineStr">
        <is>
          <t>artifacts/experiments/gt-primary-2026-10-13-fusion/metrics.json</t>
        </is>
      </c>
      <c r="G495" s="7" t="inlineStr">
        <is>
          <t>/selection/candidates[label=lightgbm:dyn-prof-v2]/selection_mae_60</t>
        </is>
      </c>
      <c r="H495" s="7" t="inlineStr">
        <is>
          <t>2026-10-13T08:02:25+00:00</t>
        </is>
      </c>
      <c r="I495" s="7" t="inlineStr">
        <is>
          <t>ec8d2e7aedb517e73fdb75284a8dea24bdb8de4b4f98257c6186d2cea56152d9</t>
        </is>
      </c>
      <c r="J495" s="7" t="inlineStr">
        <is>
          <t>protocol configs/experiments/gt-primary-2026-10-13-fusion.yaml (first commit b60d149 2026-10-13T13:32:50+05:30)</t>
        </is>
      </c>
      <c r="K495" s="7" t="inlineStr">
        <is>
          <t>local / reproducible-only (git-ignored)</t>
        </is>
      </c>
    </row>
    <row r="496">
      <c r="A496" s="7" t="inlineStr">
        <is>
          <t>sel.lightgbm_dyn-prof-v2.selection_score</t>
        </is>
      </c>
      <c r="B496" s="7" t="inlineStr">
        <is>
          <t>Serving experiment selection (validation segment, population model): lightgbm:dyn-prof-v2, selection score (mean of 30/60)</t>
        </is>
      </c>
      <c r="C496" s="8" t="n">
        <v>17.36282756230921</v>
      </c>
      <c r="D496" s="7" t="inlineStr">
        <is>
          <t>mg/dL</t>
        </is>
      </c>
      <c r="E496" s="7" t="inlineStr">
        <is>
          <t>fusion</t>
        </is>
      </c>
      <c r="F496" s="7" t="inlineStr">
        <is>
          <t>artifacts/experiments/gt-primary-2026-10-13-fusion/metrics.json</t>
        </is>
      </c>
      <c r="G496" s="7" t="inlineStr">
        <is>
          <t>/selection/candidates[label=lightgbm:dyn-prof-v2]/selection_score</t>
        </is>
      </c>
      <c r="H496" s="7" t="inlineStr">
        <is>
          <t>2026-10-13T08:02:25+00:00</t>
        </is>
      </c>
      <c r="I496" s="7" t="inlineStr">
        <is>
          <t>ec8d2e7aedb517e73fdb75284a8dea24bdb8de4b4f98257c6186d2cea56152d9</t>
        </is>
      </c>
      <c r="J496" s="7" t="inlineStr">
        <is>
          <t>protocol configs/experiments/gt-primary-2026-10-13-fusion.yaml (first commit b60d149 2026-10-13T13:32:50+05:30)</t>
        </is>
      </c>
      <c r="K496" s="7" t="inlineStr">
        <is>
          <t>local / reproducible-only (git-ignored)</t>
        </is>
      </c>
    </row>
    <row r="497">
      <c r="A497" s="7" t="inlineStr">
        <is>
          <t>sel.catboost_dyn-prof-v2.selection_mae_30</t>
        </is>
      </c>
      <c r="B497" s="7" t="inlineStr">
        <is>
          <t>Serving experiment selection (validation segment, population model): catboost:dyn-prof-v2, validation MAE 30</t>
        </is>
      </c>
      <c r="C497" s="8" t="n">
        <v>13.56471060860209</v>
      </c>
      <c r="D497" s="7" t="inlineStr">
        <is>
          <t>mg/dL</t>
        </is>
      </c>
      <c r="E497" s="7" t="inlineStr">
        <is>
          <t>fusion</t>
        </is>
      </c>
      <c r="F497" s="7" t="inlineStr">
        <is>
          <t>artifacts/experiments/gt-primary-2026-10-13-fusion/metrics.json</t>
        </is>
      </c>
      <c r="G497" s="7" t="inlineStr">
        <is>
          <t>/selection/candidates[label=catboost:dyn-prof-v2]/selection_mae_30</t>
        </is>
      </c>
      <c r="H497" s="7" t="inlineStr">
        <is>
          <t>2026-10-13T08:02:25+00:00</t>
        </is>
      </c>
      <c r="I497" s="7" t="inlineStr">
        <is>
          <t>ec8d2e7aedb517e73fdb75284a8dea24bdb8de4b4f98257c6186d2cea56152d9</t>
        </is>
      </c>
      <c r="J497" s="7" t="inlineStr">
        <is>
          <t>protocol configs/experiments/gt-primary-2026-10-13-fusion.yaml (first commit b60d149 2026-10-13T13:32:50+05:30)</t>
        </is>
      </c>
      <c r="K497" s="7" t="inlineStr">
        <is>
          <t>local / reproducible-only (git-ignored)</t>
        </is>
      </c>
    </row>
    <row r="498">
      <c r="A498" s="7" t="inlineStr">
        <is>
          <t>sel.catboost_dyn-prof-v2.selection_mae_60</t>
        </is>
      </c>
      <c r="B498" s="7" t="inlineStr">
        <is>
          <t>Serving experiment selection (validation segment, population model): catboost:dyn-prof-v2, validation MAE 60</t>
        </is>
      </c>
      <c r="C498" s="8" t="n">
        <v>21.30787862952045</v>
      </c>
      <c r="D498" s="7" t="inlineStr">
        <is>
          <t>mg/dL</t>
        </is>
      </c>
      <c r="E498" s="7" t="inlineStr">
        <is>
          <t>fusion</t>
        </is>
      </c>
      <c r="F498" s="7" t="inlineStr">
        <is>
          <t>artifacts/experiments/gt-primary-2026-10-13-fusion/metrics.json</t>
        </is>
      </c>
      <c r="G498" s="7" t="inlineStr">
        <is>
          <t>/selection/candidates[label=catboost:dyn-prof-v2]/selection_mae_60</t>
        </is>
      </c>
      <c r="H498" s="7" t="inlineStr">
        <is>
          <t>2026-10-13T08:02:25+00:00</t>
        </is>
      </c>
      <c r="I498" s="7" t="inlineStr">
        <is>
          <t>ec8d2e7aedb517e73fdb75284a8dea24bdb8de4b4f98257c6186d2cea56152d9</t>
        </is>
      </c>
      <c r="J498" s="7" t="inlineStr">
        <is>
          <t>protocol configs/experiments/gt-primary-2026-10-13-fusion.yaml (first commit b60d149 2026-10-13T13:32:50+05:30)</t>
        </is>
      </c>
      <c r="K498" s="7" t="inlineStr">
        <is>
          <t>local / reproducible-only (git-ignored)</t>
        </is>
      </c>
    </row>
    <row r="499">
      <c r="A499" s="7" t="inlineStr">
        <is>
          <t>sel.catboost_dyn-prof-v2.selection_score</t>
        </is>
      </c>
      <c r="B499" s="7" t="inlineStr">
        <is>
          <t>Serving experiment selection (validation segment, population model): catboost:dyn-prof-v2, selection score (mean of 30/60)</t>
        </is>
      </c>
      <c r="C499" s="8" t="n">
        <v>17.43629461906127</v>
      </c>
      <c r="D499" s="7" t="inlineStr">
        <is>
          <t>mg/dL</t>
        </is>
      </c>
      <c r="E499" s="7" t="inlineStr">
        <is>
          <t>fusion</t>
        </is>
      </c>
      <c r="F499" s="7" t="inlineStr">
        <is>
          <t>artifacts/experiments/gt-primary-2026-10-13-fusion/metrics.json</t>
        </is>
      </c>
      <c r="G499" s="7" t="inlineStr">
        <is>
          <t>/selection/candidates[label=catboost:dyn-prof-v2]/selection_score</t>
        </is>
      </c>
      <c r="H499" s="7" t="inlineStr">
        <is>
          <t>2026-10-13T08:02:25+00:00</t>
        </is>
      </c>
      <c r="I499" s="7" t="inlineStr">
        <is>
          <t>ec8d2e7aedb517e73fdb75284a8dea24bdb8de4b4f98257c6186d2cea56152d9</t>
        </is>
      </c>
      <c r="J499" s="7" t="inlineStr">
        <is>
          <t>protocol configs/experiments/gt-primary-2026-10-13-fusion.yaml (first commit b60d149 2026-10-13T13:32:50+05:30)</t>
        </is>
      </c>
      <c r="K499" s="7" t="inlineStr">
        <is>
          <t>local / reproducible-only (git-ignored)</t>
        </is>
      </c>
    </row>
    <row r="500">
      <c r="A500" s="7" t="inlineStr">
        <is>
          <t>sel.lightgbm_dyn-v2.selection_mae_30</t>
        </is>
      </c>
      <c r="B500" s="7" t="inlineStr">
        <is>
          <t>Serving experiment selection (validation segment, population model): lightgbm:dyn-v2, validation MAE 30</t>
        </is>
      </c>
      <c r="C500" s="8" t="n">
        <v>13.76418435099777</v>
      </c>
      <c r="D500" s="7" t="inlineStr">
        <is>
          <t>mg/dL</t>
        </is>
      </c>
      <c r="E500" s="7" t="inlineStr">
        <is>
          <t>fusion</t>
        </is>
      </c>
      <c r="F500" s="7" t="inlineStr">
        <is>
          <t>artifacts/experiments/gt-primary-2026-10-13-fusion/metrics.json</t>
        </is>
      </c>
      <c r="G500" s="7" t="inlineStr">
        <is>
          <t>/selection/candidates[label=lightgbm:dyn-v2]/selection_mae_30</t>
        </is>
      </c>
      <c r="H500" s="7" t="inlineStr">
        <is>
          <t>2026-10-13T08:02:25+00:00</t>
        </is>
      </c>
      <c r="I500" s="7" t="inlineStr">
        <is>
          <t>ec8d2e7aedb517e73fdb75284a8dea24bdb8de4b4f98257c6186d2cea56152d9</t>
        </is>
      </c>
      <c r="J500" s="7" t="inlineStr">
        <is>
          <t>protocol configs/experiments/gt-primary-2026-10-13-fusion.yaml (first commit b60d149 2026-10-13T13:32:50+05:30)</t>
        </is>
      </c>
      <c r="K500" s="7" t="inlineStr">
        <is>
          <t>local / reproducible-only (git-ignored)</t>
        </is>
      </c>
    </row>
    <row r="501">
      <c r="A501" s="7" t="inlineStr">
        <is>
          <t>sel.lightgbm_dyn-v2.selection_mae_60</t>
        </is>
      </c>
      <c r="B501" s="7" t="inlineStr">
        <is>
          <t>Serving experiment selection (validation segment, population model): lightgbm:dyn-v2, validation MAE 60</t>
        </is>
      </c>
      <c r="C501" s="8" t="n">
        <v>21.72693472861205</v>
      </c>
      <c r="D501" s="7" t="inlineStr">
        <is>
          <t>mg/dL</t>
        </is>
      </c>
      <c r="E501" s="7" t="inlineStr">
        <is>
          <t>fusion</t>
        </is>
      </c>
      <c r="F501" s="7" t="inlineStr">
        <is>
          <t>artifacts/experiments/gt-primary-2026-10-13-fusion/metrics.json</t>
        </is>
      </c>
      <c r="G501" s="7" t="inlineStr">
        <is>
          <t>/selection/candidates[label=lightgbm:dyn-v2]/selection_mae_60</t>
        </is>
      </c>
      <c r="H501" s="7" t="inlineStr">
        <is>
          <t>2026-10-13T08:02:25+00:00</t>
        </is>
      </c>
      <c r="I501" s="7" t="inlineStr">
        <is>
          <t>ec8d2e7aedb517e73fdb75284a8dea24bdb8de4b4f98257c6186d2cea56152d9</t>
        </is>
      </c>
      <c r="J501" s="7" t="inlineStr">
        <is>
          <t>protocol configs/experiments/gt-primary-2026-10-13-fusion.yaml (first commit b60d149 2026-10-13T13:32:50+05:30)</t>
        </is>
      </c>
      <c r="K501" s="7" t="inlineStr">
        <is>
          <t>local / reproducible-only (git-ignored)</t>
        </is>
      </c>
    </row>
    <row r="502">
      <c r="A502" s="7" t="inlineStr">
        <is>
          <t>sel.lightgbm_dyn-v2.selection_score</t>
        </is>
      </c>
      <c r="B502" s="7" t="inlineStr">
        <is>
          <t>Serving experiment selection (validation segment, population model): lightgbm:dyn-v2, selection score (mean of 30/60)</t>
        </is>
      </c>
      <c r="C502" s="8" t="n">
        <v>17.74555953980491</v>
      </c>
      <c r="D502" s="7" t="inlineStr">
        <is>
          <t>mg/dL</t>
        </is>
      </c>
      <c r="E502" s="7" t="inlineStr">
        <is>
          <t>fusion</t>
        </is>
      </c>
      <c r="F502" s="7" t="inlineStr">
        <is>
          <t>artifacts/experiments/gt-primary-2026-10-13-fusion/metrics.json</t>
        </is>
      </c>
      <c r="G502" s="7" t="inlineStr">
        <is>
          <t>/selection/candidates[label=lightgbm:dyn-v2]/selection_score</t>
        </is>
      </c>
      <c r="H502" s="7" t="inlineStr">
        <is>
          <t>2026-10-13T08:02:25+00:00</t>
        </is>
      </c>
      <c r="I502" s="7" t="inlineStr">
        <is>
          <t>ec8d2e7aedb517e73fdb75284a8dea24bdb8de4b4f98257c6186d2cea56152d9</t>
        </is>
      </c>
      <c r="J502" s="7" t="inlineStr">
        <is>
          <t>protocol configs/experiments/gt-primary-2026-10-13-fusion.yaml (first commit b60d149 2026-10-13T13:32:50+05:30)</t>
        </is>
      </c>
      <c r="K502" s="7" t="inlineStr">
        <is>
          <t>local / reproducible-only (git-ignored)</t>
        </is>
      </c>
    </row>
    <row r="503">
      <c r="A503" s="7" t="inlineStr">
        <is>
          <t>sel.catboost_dyn-v2.selection_mae_30</t>
        </is>
      </c>
      <c r="B503" s="7" t="inlineStr">
        <is>
          <t>Serving experiment selection (validation segment, population model): catboost:dyn-v2, validation MAE 30</t>
        </is>
      </c>
      <c r="C503" s="8" t="n">
        <v>13.88337388377403</v>
      </c>
      <c r="D503" s="7" t="inlineStr">
        <is>
          <t>mg/dL</t>
        </is>
      </c>
      <c r="E503" s="7" t="inlineStr">
        <is>
          <t>fusion</t>
        </is>
      </c>
      <c r="F503" s="7" t="inlineStr">
        <is>
          <t>artifacts/experiments/gt-primary-2026-10-13-fusion/metrics.json</t>
        </is>
      </c>
      <c r="G503" s="7" t="inlineStr">
        <is>
          <t>/selection/candidates[label=catboost:dyn-v2]/selection_mae_30</t>
        </is>
      </c>
      <c r="H503" s="7" t="inlineStr">
        <is>
          <t>2026-10-13T08:02:25+00:00</t>
        </is>
      </c>
      <c r="I503" s="7" t="inlineStr">
        <is>
          <t>ec8d2e7aedb517e73fdb75284a8dea24bdb8de4b4f98257c6186d2cea56152d9</t>
        </is>
      </c>
      <c r="J503" s="7" t="inlineStr">
        <is>
          <t>protocol configs/experiments/gt-primary-2026-10-13-fusion.yaml (first commit b60d149 2026-10-13T13:32:50+05:30)</t>
        </is>
      </c>
      <c r="K503" s="7" t="inlineStr">
        <is>
          <t>local / reproducible-only (git-ignored)</t>
        </is>
      </c>
    </row>
    <row r="504">
      <c r="A504" s="7" t="inlineStr">
        <is>
          <t>sel.catboost_dyn-v2.selection_mae_60</t>
        </is>
      </c>
      <c r="B504" s="7" t="inlineStr">
        <is>
          <t>Serving experiment selection (validation segment, population model): catboost:dyn-v2, validation MAE 60</t>
        </is>
      </c>
      <c r="C504" s="8" t="n">
        <v>21.6646365159916</v>
      </c>
      <c r="D504" s="7" t="inlineStr">
        <is>
          <t>mg/dL</t>
        </is>
      </c>
      <c r="E504" s="7" t="inlineStr">
        <is>
          <t>fusion</t>
        </is>
      </c>
      <c r="F504" s="7" t="inlineStr">
        <is>
          <t>artifacts/experiments/gt-primary-2026-10-13-fusion/metrics.json</t>
        </is>
      </c>
      <c r="G504" s="7" t="inlineStr">
        <is>
          <t>/selection/candidates[label=catboost:dyn-v2]/selection_mae_60</t>
        </is>
      </c>
      <c r="H504" s="7" t="inlineStr">
        <is>
          <t>2026-10-13T08:02:25+00:00</t>
        </is>
      </c>
      <c r="I504" s="7" t="inlineStr">
        <is>
          <t>ec8d2e7aedb517e73fdb75284a8dea24bdb8de4b4f98257c6186d2cea56152d9</t>
        </is>
      </c>
      <c r="J504" s="7" t="inlineStr">
        <is>
          <t>protocol configs/experiments/gt-primary-2026-10-13-fusion.yaml (first commit b60d149 2026-10-13T13:32:50+05:30)</t>
        </is>
      </c>
      <c r="K504" s="7" t="inlineStr">
        <is>
          <t>local / reproducible-only (git-ignored)</t>
        </is>
      </c>
    </row>
    <row r="505">
      <c r="A505" s="7" t="inlineStr">
        <is>
          <t>sel.catboost_dyn-v2.selection_score</t>
        </is>
      </c>
      <c r="B505" s="7" t="inlineStr">
        <is>
          <t>Serving experiment selection (validation segment, population model): catboost:dyn-v2, selection score (mean of 30/60)</t>
        </is>
      </c>
      <c r="C505" s="8" t="n">
        <v>17.77400519988282</v>
      </c>
      <c r="D505" s="7" t="inlineStr">
        <is>
          <t>mg/dL</t>
        </is>
      </c>
      <c r="E505" s="7" t="inlineStr">
        <is>
          <t>fusion</t>
        </is>
      </c>
      <c r="F505" s="7" t="inlineStr">
        <is>
          <t>artifacts/experiments/gt-primary-2026-10-13-fusion/metrics.json</t>
        </is>
      </c>
      <c r="G505" s="7" t="inlineStr">
        <is>
          <t>/selection/candidates[label=catboost:dyn-v2]/selection_score</t>
        </is>
      </c>
      <c r="H505" s="7" t="inlineStr">
        <is>
          <t>2026-10-13T08:02:25+00:00</t>
        </is>
      </c>
      <c r="I505" s="7" t="inlineStr">
        <is>
          <t>ec8d2e7aedb517e73fdb75284a8dea24bdb8de4b4f98257c6186d2cea56152d9</t>
        </is>
      </c>
      <c r="J505" s="7" t="inlineStr">
        <is>
          <t>protocol configs/experiments/gt-primary-2026-10-13-fusion.yaml (first commit b60d149 2026-10-13T13:32:50+05:30)</t>
        </is>
      </c>
      <c r="K505" s="7" t="inlineStr">
        <is>
          <t>local / reproducible-only (git-ignored)</t>
        </is>
      </c>
    </row>
    <row r="506">
      <c r="A506" s="7" t="inlineStr">
        <is>
          <t>sel.ridge_dyn-v2.selection_mae_30</t>
        </is>
      </c>
      <c r="B506" s="7" t="inlineStr">
        <is>
          <t>Serving experiment selection (validation segment, population model): ridge:dyn-v2, validation MAE 30</t>
        </is>
      </c>
      <c r="C506" s="8" t="n">
        <v>14.12732791497222</v>
      </c>
      <c r="D506" s="7" t="inlineStr">
        <is>
          <t>mg/dL</t>
        </is>
      </c>
      <c r="E506" s="7" t="inlineStr">
        <is>
          <t>fusion</t>
        </is>
      </c>
      <c r="F506" s="7" t="inlineStr">
        <is>
          <t>artifacts/experiments/gt-primary-2026-10-13-fusion/metrics.json</t>
        </is>
      </c>
      <c r="G506" s="7" t="inlineStr">
        <is>
          <t>/selection/candidates[label=ridge:dyn-v2]/selection_mae_30</t>
        </is>
      </c>
      <c r="H506" s="7" t="inlineStr">
        <is>
          <t>2026-10-13T08:02:25+00:00</t>
        </is>
      </c>
      <c r="I506" s="7" t="inlineStr">
        <is>
          <t>ec8d2e7aedb517e73fdb75284a8dea24bdb8de4b4f98257c6186d2cea56152d9</t>
        </is>
      </c>
      <c r="J506" s="7" t="inlineStr">
        <is>
          <t>protocol configs/experiments/gt-primary-2026-10-13-fusion.yaml (first commit b60d149 2026-10-13T13:32:50+05:30)</t>
        </is>
      </c>
      <c r="K506" s="7" t="inlineStr">
        <is>
          <t>local / reproducible-only (git-ignored)</t>
        </is>
      </c>
    </row>
    <row r="507">
      <c r="A507" s="7" t="inlineStr">
        <is>
          <t>sel.ridge_dyn-v2.selection_mae_60</t>
        </is>
      </c>
      <c r="B507" s="7" t="inlineStr">
        <is>
          <t>Serving experiment selection (validation segment, population model): ridge:dyn-v2, validation MAE 60</t>
        </is>
      </c>
      <c r="C507" s="8" t="n">
        <v>22.44000161226991</v>
      </c>
      <c r="D507" s="7" t="inlineStr">
        <is>
          <t>mg/dL</t>
        </is>
      </c>
      <c r="E507" s="7" t="inlineStr">
        <is>
          <t>fusion</t>
        </is>
      </c>
      <c r="F507" s="7" t="inlineStr">
        <is>
          <t>artifacts/experiments/gt-primary-2026-10-13-fusion/metrics.json</t>
        </is>
      </c>
      <c r="G507" s="7" t="inlineStr">
        <is>
          <t>/selection/candidates[label=ridge:dyn-v2]/selection_mae_60</t>
        </is>
      </c>
      <c r="H507" s="7" t="inlineStr">
        <is>
          <t>2026-10-13T08:02:25+00:00</t>
        </is>
      </c>
      <c r="I507" s="7" t="inlineStr">
        <is>
          <t>ec8d2e7aedb517e73fdb75284a8dea24bdb8de4b4f98257c6186d2cea56152d9</t>
        </is>
      </c>
      <c r="J507" s="7" t="inlineStr">
        <is>
          <t>protocol configs/experiments/gt-primary-2026-10-13-fusion.yaml (first commit b60d149 2026-10-13T13:32:50+05:30)</t>
        </is>
      </c>
      <c r="K507" s="7" t="inlineStr">
        <is>
          <t>local / reproducible-only (git-ignored)</t>
        </is>
      </c>
    </row>
    <row r="508">
      <c r="A508" s="7" t="inlineStr">
        <is>
          <t>sel.ridge_dyn-v2.selection_score</t>
        </is>
      </c>
      <c r="B508" s="7" t="inlineStr">
        <is>
          <t>Serving experiment selection (validation segment, population model): ridge:dyn-v2, selection score (mean of 30/60)</t>
        </is>
      </c>
      <c r="C508" s="8" t="n">
        <v>18.28366476362106</v>
      </c>
      <c r="D508" s="7" t="inlineStr">
        <is>
          <t>mg/dL</t>
        </is>
      </c>
      <c r="E508" s="7" t="inlineStr">
        <is>
          <t>fusion</t>
        </is>
      </c>
      <c r="F508" s="7" t="inlineStr">
        <is>
          <t>artifacts/experiments/gt-primary-2026-10-13-fusion/metrics.json</t>
        </is>
      </c>
      <c r="G508" s="7" t="inlineStr">
        <is>
          <t>/selection/candidates[label=ridge:dyn-v2]/selection_score</t>
        </is>
      </c>
      <c r="H508" s="7" t="inlineStr">
        <is>
          <t>2026-10-13T08:02:25+00:00</t>
        </is>
      </c>
      <c r="I508" s="7" t="inlineStr">
        <is>
          <t>ec8d2e7aedb517e73fdb75284a8dea24bdb8de4b4f98257c6186d2cea56152d9</t>
        </is>
      </c>
      <c r="J508" s="7" t="inlineStr">
        <is>
          <t>protocol configs/experiments/gt-primary-2026-10-13-fusion.yaml (first commit b60d149 2026-10-13T13:32:50+05:30)</t>
        </is>
      </c>
      <c r="K508" s="7" t="inlineStr">
        <is>
          <t>local / reproducible-only (git-ignored)</t>
        </is>
      </c>
    </row>
    <row r="509">
      <c r="A509" s="7" t="inlineStr">
        <is>
          <t>sel.ridge_dyn-prof-v2.selection_mae_30</t>
        </is>
      </c>
      <c r="B509" s="7" t="inlineStr">
        <is>
          <t>Serving experiment selection (validation segment, population model): ridge:dyn-prof-v2, validation MAE 30</t>
        </is>
      </c>
      <c r="C509" s="8" t="n">
        <v>14.21320330783754</v>
      </c>
      <c r="D509" s="7" t="inlineStr">
        <is>
          <t>mg/dL</t>
        </is>
      </c>
      <c r="E509" s="7" t="inlineStr">
        <is>
          <t>fusion</t>
        </is>
      </c>
      <c r="F509" s="7" t="inlineStr">
        <is>
          <t>artifacts/experiments/gt-primary-2026-10-13-fusion/metrics.json</t>
        </is>
      </c>
      <c r="G509" s="7" t="inlineStr">
        <is>
          <t>/selection/candidates[label=ridge:dyn-prof-v2]/selection_mae_30</t>
        </is>
      </c>
      <c r="H509" s="7" t="inlineStr">
        <is>
          <t>2026-10-13T08:02:25+00:00</t>
        </is>
      </c>
      <c r="I509" s="7" t="inlineStr">
        <is>
          <t>ec8d2e7aedb517e73fdb75284a8dea24bdb8de4b4f98257c6186d2cea56152d9</t>
        </is>
      </c>
      <c r="J509" s="7" t="inlineStr">
        <is>
          <t>protocol configs/experiments/gt-primary-2026-10-13-fusion.yaml (first commit b60d149 2026-10-13T13:32:50+05:30)</t>
        </is>
      </c>
      <c r="K509" s="7" t="inlineStr">
        <is>
          <t>local / reproducible-only (git-ignored)</t>
        </is>
      </c>
    </row>
    <row r="510">
      <c r="A510" s="7" t="inlineStr">
        <is>
          <t>sel.ridge_dyn-prof-v2.selection_mae_60</t>
        </is>
      </c>
      <c r="B510" s="7" t="inlineStr">
        <is>
          <t>Serving experiment selection (validation segment, population model): ridge:dyn-prof-v2, validation MAE 60</t>
        </is>
      </c>
      <c r="C510" s="8" t="n">
        <v>22.60729950559612</v>
      </c>
      <c r="D510" s="7" t="inlineStr">
        <is>
          <t>mg/dL</t>
        </is>
      </c>
      <c r="E510" s="7" t="inlineStr">
        <is>
          <t>fusion</t>
        </is>
      </c>
      <c r="F510" s="7" t="inlineStr">
        <is>
          <t>artifacts/experiments/gt-primary-2026-10-13-fusion/metrics.json</t>
        </is>
      </c>
      <c r="G510" s="7" t="inlineStr">
        <is>
          <t>/selection/candidates[label=ridge:dyn-prof-v2]/selection_mae_60</t>
        </is>
      </c>
      <c r="H510" s="7" t="inlineStr">
        <is>
          <t>2026-10-13T08:02:25+00:00</t>
        </is>
      </c>
      <c r="I510" s="7" t="inlineStr">
        <is>
          <t>ec8d2e7aedb517e73fdb75284a8dea24bdb8de4b4f98257c6186d2cea56152d9</t>
        </is>
      </c>
      <c r="J510" s="7" t="inlineStr">
        <is>
          <t>protocol configs/experiments/gt-primary-2026-10-13-fusion.yaml (first commit b60d149 2026-10-13T13:32:50+05:30)</t>
        </is>
      </c>
      <c r="K510" s="7" t="inlineStr">
        <is>
          <t>local / reproducible-only (git-ignored)</t>
        </is>
      </c>
    </row>
    <row r="511">
      <c r="A511" s="7" t="inlineStr">
        <is>
          <t>sel.ridge_dyn-prof-v2.selection_score</t>
        </is>
      </c>
      <c r="B511" s="7" t="inlineStr">
        <is>
          <t>Serving experiment selection (validation segment, population model): ridge:dyn-prof-v2, selection score (mean of 30/60)</t>
        </is>
      </c>
      <c r="C511" s="8" t="n">
        <v>18.41025140671683</v>
      </c>
      <c r="D511" s="7" t="inlineStr">
        <is>
          <t>mg/dL</t>
        </is>
      </c>
      <c r="E511" s="7" t="inlineStr">
        <is>
          <t>fusion</t>
        </is>
      </c>
      <c r="F511" s="7" t="inlineStr">
        <is>
          <t>artifacts/experiments/gt-primary-2026-10-13-fusion/metrics.json</t>
        </is>
      </c>
      <c r="G511" s="7" t="inlineStr">
        <is>
          <t>/selection/candidates[label=ridge:dyn-prof-v2]/selection_score</t>
        </is>
      </c>
      <c r="H511" s="7" t="inlineStr">
        <is>
          <t>2026-10-13T08:02:25+00:00</t>
        </is>
      </c>
      <c r="I511" s="7" t="inlineStr">
        <is>
          <t>ec8d2e7aedb517e73fdb75284a8dea24bdb8de4b4f98257c6186d2cea56152d9</t>
        </is>
      </c>
      <c r="J511" s="7" t="inlineStr">
        <is>
          <t>protocol configs/experiments/gt-primary-2026-10-13-fusion.yaml (first commit b60d149 2026-10-13T13:32:50+05:30)</t>
        </is>
      </c>
      <c r="K511" s="7" t="inlineStr">
        <is>
          <t>local / reproducible-only (git-ignored)</t>
        </is>
      </c>
    </row>
    <row r="512">
      <c r="A512" s="7" t="inlineStr">
        <is>
          <t>sel.linear_trend_cgm-only-v1.selection_mae_30</t>
        </is>
      </c>
      <c r="B512" s="7" t="inlineStr">
        <is>
          <t>Serving experiment selection (validation segment, population model): linear_trend:cgm-only-v1, validation MAE 30</t>
        </is>
      </c>
      <c r="C512" s="8" t="n">
        <v>15.65784652150823</v>
      </c>
      <c r="D512" s="7" t="inlineStr">
        <is>
          <t>mg/dL</t>
        </is>
      </c>
      <c r="E512" s="7" t="inlineStr">
        <is>
          <t>fusion</t>
        </is>
      </c>
      <c r="F512" s="7" t="inlineStr">
        <is>
          <t>artifacts/experiments/gt-primary-2026-10-13-fusion/metrics.json</t>
        </is>
      </c>
      <c r="G512" s="7" t="inlineStr">
        <is>
          <t>/selection/candidates[label=linear_trend:cgm-only-v1]/selection_mae_30</t>
        </is>
      </c>
      <c r="H512" s="7" t="inlineStr">
        <is>
          <t>2026-10-13T08:02:25+00:00</t>
        </is>
      </c>
      <c r="I512" s="7" t="inlineStr">
        <is>
          <t>ec8d2e7aedb517e73fdb75284a8dea24bdb8de4b4f98257c6186d2cea56152d9</t>
        </is>
      </c>
      <c r="J512" s="7" t="inlineStr">
        <is>
          <t>protocol configs/experiments/gt-primary-2026-10-13-fusion.yaml (first commit b60d149 2026-10-13T13:32:50+05:30)</t>
        </is>
      </c>
      <c r="K512" s="7" t="inlineStr">
        <is>
          <t>local / reproducible-only (git-ignored)</t>
        </is>
      </c>
    </row>
    <row r="513">
      <c r="A513" s="7" t="inlineStr">
        <is>
          <t>sel.linear_trend_cgm-only-v1.selection_mae_60</t>
        </is>
      </c>
      <c r="B513" s="7" t="inlineStr">
        <is>
          <t>Serving experiment selection (validation segment, population model): linear_trend:cgm-only-v1, validation MAE 60</t>
        </is>
      </c>
      <c r="C513" s="8" t="n">
        <v>26.33162506638343</v>
      </c>
      <c r="D513" s="7" t="inlineStr">
        <is>
          <t>mg/dL</t>
        </is>
      </c>
      <c r="E513" s="7" t="inlineStr">
        <is>
          <t>fusion</t>
        </is>
      </c>
      <c r="F513" s="7" t="inlineStr">
        <is>
          <t>artifacts/experiments/gt-primary-2026-10-13-fusion/metrics.json</t>
        </is>
      </c>
      <c r="G513" s="7" t="inlineStr">
        <is>
          <t>/selection/candidates[label=linear_trend:cgm-only-v1]/selection_mae_60</t>
        </is>
      </c>
      <c r="H513" s="7" t="inlineStr">
        <is>
          <t>2026-10-13T08:02:25+00:00</t>
        </is>
      </c>
      <c r="I513" s="7" t="inlineStr">
        <is>
          <t>ec8d2e7aedb517e73fdb75284a8dea24bdb8de4b4f98257c6186d2cea56152d9</t>
        </is>
      </c>
      <c r="J513" s="7" t="inlineStr">
        <is>
          <t>protocol configs/experiments/gt-primary-2026-10-13-fusion.yaml (first commit b60d149 2026-10-13T13:32:50+05:30)</t>
        </is>
      </c>
      <c r="K513" s="7" t="inlineStr">
        <is>
          <t>local / reproducible-only (git-ignored)</t>
        </is>
      </c>
    </row>
    <row r="514">
      <c r="A514" s="7" t="inlineStr">
        <is>
          <t>sel.linear_trend_cgm-only-v1.selection_score</t>
        </is>
      </c>
      <c r="B514" s="7" t="inlineStr">
        <is>
          <t>Serving experiment selection (validation segment, population model): linear_trend:cgm-only-v1, selection score (mean of 30/60)</t>
        </is>
      </c>
      <c r="C514" s="8" t="n">
        <v>20.99473579394583</v>
      </c>
      <c r="D514" s="7" t="inlineStr">
        <is>
          <t>mg/dL</t>
        </is>
      </c>
      <c r="E514" s="7" t="inlineStr">
        <is>
          <t>fusion</t>
        </is>
      </c>
      <c r="F514" s="7" t="inlineStr">
        <is>
          <t>artifacts/experiments/gt-primary-2026-10-13-fusion/metrics.json</t>
        </is>
      </c>
      <c r="G514" s="7" t="inlineStr">
        <is>
          <t>/selection/candidates[label=linear_trend:cgm-only-v1]/selection_score</t>
        </is>
      </c>
      <c r="H514" s="7" t="inlineStr">
        <is>
          <t>2026-10-13T08:02:25+00:00</t>
        </is>
      </c>
      <c r="I514" s="7" t="inlineStr">
        <is>
          <t>ec8d2e7aedb517e73fdb75284a8dea24bdb8de4b4f98257c6186d2cea56152d9</t>
        </is>
      </c>
      <c r="J514" s="7" t="inlineStr">
        <is>
          <t>protocol configs/experiments/gt-primary-2026-10-13-fusion.yaml (first commit b60d149 2026-10-13T13:32:50+05:30)</t>
        </is>
      </c>
      <c r="K514" s="7" t="inlineStr">
        <is>
          <t>local / reproducible-only (git-ignored)</t>
        </is>
      </c>
    </row>
    <row r="515">
      <c r="A515" s="7" t="inlineStr">
        <is>
          <t>sel.persistence_cgm-only-v1.selection_mae_30</t>
        </is>
      </c>
      <c r="B515" s="7" t="inlineStr">
        <is>
          <t>Serving experiment selection (validation segment, population model): persistence:cgm-only-v1, validation MAE 30</t>
        </is>
      </c>
      <c r="C515" s="8" t="n">
        <v>16.51009028146575</v>
      </c>
      <c r="D515" s="7" t="inlineStr">
        <is>
          <t>mg/dL</t>
        </is>
      </c>
      <c r="E515" s="7" t="inlineStr">
        <is>
          <t>fusion</t>
        </is>
      </c>
      <c r="F515" s="7" t="inlineStr">
        <is>
          <t>artifacts/experiments/gt-primary-2026-10-13-fusion/metrics.json</t>
        </is>
      </c>
      <c r="G515" s="7" t="inlineStr">
        <is>
          <t>/selection/candidates[label=persistence:cgm-only-v1]/selection_mae_30</t>
        </is>
      </c>
      <c r="H515" s="7" t="inlineStr">
        <is>
          <t>2026-10-13T08:02:25+00:00</t>
        </is>
      </c>
      <c r="I515" s="7" t="inlineStr">
        <is>
          <t>ec8d2e7aedb517e73fdb75284a8dea24bdb8de4b4f98257c6186d2cea56152d9</t>
        </is>
      </c>
      <c r="J515" s="7" t="inlineStr">
        <is>
          <t>protocol configs/experiments/gt-primary-2026-10-13-fusion.yaml (first commit b60d149 2026-10-13T13:32:50+05:30)</t>
        </is>
      </c>
      <c r="K515" s="7" t="inlineStr">
        <is>
          <t>local / reproducible-only (git-ignored)</t>
        </is>
      </c>
    </row>
    <row r="516">
      <c r="A516" s="7" t="inlineStr">
        <is>
          <t>sel.persistence_cgm-only-v1.selection_mae_60</t>
        </is>
      </c>
      <c r="B516" s="7" t="inlineStr">
        <is>
          <t>Serving experiment selection (validation segment, population model): persistence:cgm-only-v1, validation MAE 60</t>
        </is>
      </c>
      <c r="C516" s="8" t="n">
        <v>26.32315454062666</v>
      </c>
      <c r="D516" s="7" t="inlineStr">
        <is>
          <t>mg/dL</t>
        </is>
      </c>
      <c r="E516" s="7" t="inlineStr">
        <is>
          <t>fusion</t>
        </is>
      </c>
      <c r="F516" s="7" t="inlineStr">
        <is>
          <t>artifacts/experiments/gt-primary-2026-10-13-fusion/metrics.json</t>
        </is>
      </c>
      <c r="G516" s="7" t="inlineStr">
        <is>
          <t>/selection/candidates[label=persistence:cgm-only-v1]/selection_mae_60</t>
        </is>
      </c>
      <c r="H516" s="7" t="inlineStr">
        <is>
          <t>2026-10-13T08:02:25+00:00</t>
        </is>
      </c>
      <c r="I516" s="7" t="inlineStr">
        <is>
          <t>ec8d2e7aedb517e73fdb75284a8dea24bdb8de4b4f98257c6186d2cea56152d9</t>
        </is>
      </c>
      <c r="J516" s="7" t="inlineStr">
        <is>
          <t>protocol configs/experiments/gt-primary-2026-10-13-fusion.yaml (first commit b60d149 2026-10-13T13:32:50+05:30)</t>
        </is>
      </c>
      <c r="K516" s="7" t="inlineStr">
        <is>
          <t>local / reproducible-only (git-ignored)</t>
        </is>
      </c>
    </row>
    <row r="517">
      <c r="A517" s="7" t="inlineStr">
        <is>
          <t>sel.persistence_cgm-only-v1.selection_score</t>
        </is>
      </c>
      <c r="B517" s="7" t="inlineStr">
        <is>
          <t>Serving experiment selection (validation segment, population model): persistence:cgm-only-v1, selection score (mean of 30/60)</t>
        </is>
      </c>
      <c r="C517" s="8" t="n">
        <v>21.41662241104621</v>
      </c>
      <c r="D517" s="7" t="inlineStr">
        <is>
          <t>mg/dL</t>
        </is>
      </c>
      <c r="E517" s="7" t="inlineStr">
        <is>
          <t>fusion</t>
        </is>
      </c>
      <c r="F517" s="7" t="inlineStr">
        <is>
          <t>artifacts/experiments/gt-primary-2026-10-13-fusion/metrics.json</t>
        </is>
      </c>
      <c r="G517" s="7" t="inlineStr">
        <is>
          <t>/selection/candidates[label=persistence:cgm-only-v1]/selection_score</t>
        </is>
      </c>
      <c r="H517" s="7" t="inlineStr">
        <is>
          <t>2026-10-13T08:02:25+00:00</t>
        </is>
      </c>
      <c r="I517" s="7" t="inlineStr">
        <is>
          <t>ec8d2e7aedb517e73fdb75284a8dea24bdb8de4b4f98257c6186d2cea56152d9</t>
        </is>
      </c>
      <c r="J517" s="7" t="inlineStr">
        <is>
          <t>protocol configs/experiments/gt-primary-2026-10-13-fusion.yaml (first commit b60d149 2026-10-13T13:32:50+05:30)</t>
        </is>
      </c>
      <c r="K517" s="7" t="inlineStr">
        <is>
          <t>local / reproducible-only (git-ignored)</t>
        </is>
      </c>
    </row>
    <row r="518">
      <c r="A518" s="7" t="inlineStr">
        <is>
          <t>sel.selected</t>
        </is>
      </c>
      <c r="B518" s="7" t="inlineStr">
        <is>
          <t>Selected candidate (fusion-constrained rule)</t>
        </is>
      </c>
      <c r="C518" s="7" t="inlineStr">
        <is>
          <t>lightgbm:dyn-prof-v2</t>
        </is>
      </c>
      <c r="D518" s="7" t="inlineStr">
        <is>
          <t>text</t>
        </is>
      </c>
      <c r="E518" s="7" t="inlineStr">
        <is>
          <t>fusion</t>
        </is>
      </c>
      <c r="F518" s="7" t="inlineStr">
        <is>
          <t>artifacts/experiments/gt-primary-2026-10-13-fusion/metrics.json</t>
        </is>
      </c>
      <c r="G518" s="7" t="inlineStr">
        <is>
          <t>/selection/selected_label</t>
        </is>
      </c>
      <c r="H518" s="7" t="inlineStr">
        <is>
          <t>2026-10-13T08:02:25+00:00</t>
        </is>
      </c>
      <c r="I518" s="7" t="inlineStr">
        <is>
          <t>ec8d2e7aedb517e73fdb75284a8dea24bdb8de4b4f98257c6186d2cea56152d9</t>
        </is>
      </c>
      <c r="J518" s="7" t="inlineStr">
        <is>
          <t>protocol configs/experiments/gt-primary-2026-10-13-fusion.yaml (first commit b60d149 2026-10-13T13:32:50+05:30)</t>
        </is>
      </c>
      <c r="K518" s="7" t="inlineStr">
        <is>
          <t>local / reproducible-only (git-ignored)</t>
        </is>
      </c>
    </row>
    <row r="519">
      <c r="A519" s="7" t="inlineStr">
        <is>
          <t>sel.v2_selected</t>
        </is>
      </c>
      <c r="B519" s="7" t="inlineStr">
        <is>
          <t>Selected candidate without the fusion constraint (v2)</t>
        </is>
      </c>
      <c r="C519" s="7" t="inlineStr">
        <is>
          <t>lightgbm:dyn-v2</t>
        </is>
      </c>
      <c r="D519" s="7" t="inlineStr">
        <is>
          <t>text</t>
        </is>
      </c>
      <c r="E519" s="7" t="inlineStr">
        <is>
          <t>fusion_v2</t>
        </is>
      </c>
      <c r="F519" s="7" t="inlineStr">
        <is>
          <t>artifacts/experiments/gt-primary-2026-10-11-v2/metrics.json</t>
        </is>
      </c>
      <c r="G519" s="7" t="inlineStr">
        <is>
          <t>/selection/selected_label</t>
        </is>
      </c>
      <c r="H519" s="7" t="inlineStr">
        <is>
          <t>2026-10-11T16:02:37+00:00</t>
        </is>
      </c>
      <c r="I519" s="7" t="inlineStr">
        <is>
          <t>895f13b8668618a2c26c81515bc1da30fc6415392ee154f4fa14b207280bbfc8</t>
        </is>
      </c>
      <c r="J519" s="7" t="inlineStr">
        <is>
          <t>protocol configs/experiments/gt-primary-2026-10-11-v1.yaml (first commit aee2b41 2026-10-12T20:37:21+05:30)</t>
        </is>
      </c>
      <c r="K519" s="7" t="inlineStr">
        <is>
          <t>local / reproducible-only (git-ignored)</t>
        </is>
      </c>
    </row>
    <row r="520">
      <c r="A520" s="7" t="inlineStr">
        <is>
          <t>fd.fp30.mean</t>
        </is>
      </c>
      <c r="B520" s="7" t="inlineStr">
        <is>
          <t>D-054 foundation minus persistence, 30 min: mean</t>
        </is>
      </c>
      <c r="C520" s="8" t="n">
        <v>-0.7931320200075049</v>
      </c>
      <c r="D520" s="7" t="inlineStr">
        <is>
          <t>mg/dL</t>
        </is>
      </c>
      <c r="E520" s="7" t="inlineStr">
        <is>
          <t>foundation</t>
        </is>
      </c>
      <c r="F520" s="7" t="inlineStr">
        <is>
          <t>artifacts/research/gt-foundation-2026-10-21/summary.json</t>
        </is>
      </c>
      <c r="G520" s="7" t="inlineStr">
        <is>
          <t>/horizons/30/FM_vs_persistence/diff_macro/mean</t>
        </is>
      </c>
      <c r="H520" s="7" t="inlineStr">
        <is>
          <t>2026-10-21T16:09:47+00:00</t>
        </is>
      </c>
      <c r="I520" s="7" t="inlineStr">
        <is>
          <t>ebf2a2e6cb4bc2dcba531d23fdad6fad71f4e849933ee9537690bb6f939cf4e7</t>
        </is>
      </c>
      <c r="J520" s="7" t="inlineStr">
        <is>
          <t>protocol configs/experiments/gt-foundation-2026-10-21.yaml (first commit 1967c25 2026-10-21T21:31:06+05:30)</t>
        </is>
      </c>
      <c r="K520" s="7" t="inlineStr">
        <is>
          <t>local / reproducible-only (git-ignored)</t>
        </is>
      </c>
    </row>
    <row r="521">
      <c r="A521" s="7" t="inlineStr">
        <is>
          <t>fd.fp30.lo</t>
        </is>
      </c>
      <c r="B521" s="7" t="inlineStr">
        <is>
          <t>D-054 foundation minus persistence, 30 min: lo</t>
        </is>
      </c>
      <c r="C521" s="8" t="n">
        <v>-1.009195594721669</v>
      </c>
      <c r="D521" s="7" t="inlineStr">
        <is>
          <t>mg/dL</t>
        </is>
      </c>
      <c r="E521" s="7" t="inlineStr">
        <is>
          <t>foundation</t>
        </is>
      </c>
      <c r="F521" s="7" t="inlineStr">
        <is>
          <t>artifacts/research/gt-foundation-2026-10-21/summary.json</t>
        </is>
      </c>
      <c r="G521" s="7" t="inlineStr">
        <is>
          <t>/horizons/30/FM_vs_persistence/diff_macro/lo</t>
        </is>
      </c>
      <c r="H521" s="7" t="inlineStr">
        <is>
          <t>2026-10-21T16:09:47+00:00</t>
        </is>
      </c>
      <c r="I521" s="7" t="inlineStr">
        <is>
          <t>ebf2a2e6cb4bc2dcba531d23fdad6fad71f4e849933ee9537690bb6f939cf4e7</t>
        </is>
      </c>
      <c r="J521" s="7" t="inlineStr">
        <is>
          <t>protocol configs/experiments/gt-foundation-2026-10-21.yaml (first commit 1967c25 2026-10-21T21:31:06+05:30)</t>
        </is>
      </c>
      <c r="K521" s="7" t="inlineStr">
        <is>
          <t>local / reproducible-only (git-ignored)</t>
        </is>
      </c>
    </row>
    <row r="522">
      <c r="A522" s="7" t="inlineStr">
        <is>
          <t>fd.fp30.hi</t>
        </is>
      </c>
      <c r="B522" s="7" t="inlineStr">
        <is>
          <t>D-054 foundation minus persistence, 30 min: hi</t>
        </is>
      </c>
      <c r="C522" s="8" t="n">
        <v>-0.5914545041817072</v>
      </c>
      <c r="D522" s="7" t="inlineStr">
        <is>
          <t>mg/dL</t>
        </is>
      </c>
      <c r="E522" s="7" t="inlineStr">
        <is>
          <t>foundation</t>
        </is>
      </c>
      <c r="F522" s="7" t="inlineStr">
        <is>
          <t>artifacts/research/gt-foundation-2026-10-21/summary.json</t>
        </is>
      </c>
      <c r="G522" s="7" t="inlineStr">
        <is>
          <t>/horizons/30/FM_vs_persistence/diff_macro/hi</t>
        </is>
      </c>
      <c r="H522" s="7" t="inlineStr">
        <is>
          <t>2026-10-21T16:09:47+00:00</t>
        </is>
      </c>
      <c r="I522" s="7" t="inlineStr">
        <is>
          <t>ebf2a2e6cb4bc2dcba531d23fdad6fad71f4e849933ee9537690bb6f939cf4e7</t>
        </is>
      </c>
      <c r="J522" s="7" t="inlineStr">
        <is>
          <t>protocol configs/experiments/gt-foundation-2026-10-21.yaml (first commit 1967c25 2026-10-21T21:31:06+05:30)</t>
        </is>
      </c>
      <c r="K522" s="7" t="inlineStr">
        <is>
          <t>local / reproducible-only (git-ignored)</t>
        </is>
      </c>
    </row>
    <row r="523">
      <c r="A523" s="7" t="inlineStr">
        <is>
          <t>fd.fp30.people_better</t>
        </is>
      </c>
      <c r="B523" s="7" t="inlineStr">
        <is>
          <t>D-054 foundation minus persistence, 30 min: people_better</t>
        </is>
      </c>
      <c r="C523" s="7" t="n">
        <v>14</v>
      </c>
      <c r="D523" s="7" t="inlineStr">
        <is>
          <t>people</t>
        </is>
      </c>
      <c r="E523" s="7" t="inlineStr">
        <is>
          <t>foundation</t>
        </is>
      </c>
      <c r="F523" s="7" t="inlineStr">
        <is>
          <t>artifacts/research/gt-foundation-2026-10-21/summary.json</t>
        </is>
      </c>
      <c r="G523" s="7" t="inlineStr">
        <is>
          <t>/horizons/30/FM_vs_persistence/diff_macro/people_better</t>
        </is>
      </c>
      <c r="H523" s="7" t="inlineStr">
        <is>
          <t>2026-10-21T16:09:47+00:00</t>
        </is>
      </c>
      <c r="I523" s="7" t="inlineStr">
        <is>
          <t>ebf2a2e6cb4bc2dcba531d23fdad6fad71f4e849933ee9537690bb6f939cf4e7</t>
        </is>
      </c>
      <c r="J523" s="7" t="inlineStr">
        <is>
          <t>protocol configs/experiments/gt-foundation-2026-10-21.yaml (first commit 1967c25 2026-10-21T21:31:06+05:30)</t>
        </is>
      </c>
      <c r="K523" s="7" t="inlineStr">
        <is>
          <t>local / reproducible-only (git-ignored)</t>
        </is>
      </c>
    </row>
    <row r="524">
      <c r="A524" s="7" t="inlineStr">
        <is>
          <t>fd.params</t>
        </is>
      </c>
      <c r="B524" s="7" t="inlineStr">
        <is>
          <t>D-054 checkpoint parameter count</t>
        </is>
      </c>
      <c r="C524" s="7" t="n">
        <v>8652672</v>
      </c>
      <c r="D524" s="7" t="inlineStr">
        <is>
          <t>parameters</t>
        </is>
      </c>
      <c r="E524" s="7" t="inlineStr">
        <is>
          <t>foundation_meta</t>
        </is>
      </c>
      <c r="F524" s="7" t="inlineStr">
        <is>
          <t>artifacts/research/gt-foundation-2026-10-21/run_meta.json</t>
        </is>
      </c>
      <c r="G524" s="7" t="inlineStr">
        <is>
          <t>/parameters</t>
        </is>
      </c>
      <c r="H524" s="7" t="inlineStr">
        <is>
          <t>2026-10-21T16:09:31+00:00 (file time)</t>
        </is>
      </c>
      <c r="I524" s="7" t="inlineStr">
        <is>
          <t>08755c5f2897c441bd0bd4c30577e8151fc571e64000bd6625458af4f33c3b1e</t>
        </is>
      </c>
      <c r="J524" s="7" t="inlineStr">
        <is>
          <t>protocol configs/experiments/gt-foundation-2026-10-21.yaml (first commit 1967c25 2026-10-21T21:31:06+05:30)</t>
        </is>
      </c>
      <c r="K524" s="7" t="inlineStr">
        <is>
          <t>local / reproducible-only (git-ignored)</t>
        </is>
      </c>
    </row>
  </sheetData>
  <autoFilter ref="A4:K524"/>
  <hyperlinks>
    <hyperlink xmlns:r="http://schemas.openxmlformats.org/officeDocument/2006/relationships" ref="F1" r:id="rId1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2"/>
  <sheetViews>
    <sheetView showGridLines="1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6" customWidth="1" min="2" max="2"/>
    <col width="12" customWidth="1" min="3" max="3"/>
    <col width="36" customWidth="1" min="4" max="4"/>
    <col width="12" customWidth="1" min="5" max="5"/>
    <col width="40" customWidth="1" min="6" max="6"/>
    <col width="12" customWidth="1" min="7" max="7"/>
    <col width="14" customWidth="1" min="8" max="8"/>
    <col width="10" customWidth="1" min="9" max="9"/>
    <col width="10" customWidth="1" min="10" max="10"/>
    <col width="40" customWidth="1" min="11" max="11"/>
    <col width="36" customWidth="1" min="12" max="12"/>
    <col width="34" customWidth="1" min="13" max="13"/>
    <col width="30" customWidth="1" min="14" max="14"/>
  </cols>
  <sheetData>
    <row r="1">
      <c r="A1" s="1" t="inlineStr">
        <is>
          <t>Cohorts — who each result counts</t>
        </is>
      </c>
      <c r="F1" s="2" t="inlineStr">
        <is>
          <t>← About / navigation</t>
        </is>
      </c>
    </row>
    <row r="2">
      <c r="A2" s="9" t="inlineStr">
        <is>
          <t>Separate evaluation groups; never compare rows across groups.</t>
        </is>
      </c>
    </row>
    <row r="4" ht="32" customHeight="1">
      <c r="A4" s="6" t="inlineStr">
        <is>
          <t>Evaluation group</t>
        </is>
      </c>
      <c r="B4" s="6" t="inlineStr">
        <is>
          <t>Dataset / version</t>
        </is>
      </c>
      <c r="C4" s="6" t="inlineStr">
        <is>
          <t>Participants</t>
        </is>
      </c>
      <c r="D4" s="6" t="inlineStr">
        <is>
          <t>What the participant count means</t>
        </is>
      </c>
      <c r="E4" s="6" t="inlineStr">
        <is>
          <t>Cadence</t>
        </is>
      </c>
      <c r="F4" s="6" t="inlineStr">
        <is>
          <t>Split roles</t>
        </is>
      </c>
      <c r="G4" s="6" t="inlineStr">
        <is>
          <t>Horizon (min)</t>
        </is>
      </c>
      <c r="H4" s="6" t="inlineStr">
        <is>
          <t>Origins / forecasts</t>
        </is>
      </c>
      <c r="I4" s="6" t="inlineStr">
        <is>
          <t>Hours</t>
        </is>
      </c>
      <c r="J4" s="6" t="inlineStr">
        <is>
          <t>Onsets</t>
        </is>
      </c>
      <c r="K4" s="6" t="inlineStr">
        <is>
          <t>Inspected / unseen status</t>
        </is>
      </c>
      <c r="L4" s="6" t="inlineStr">
        <is>
          <t>Opening disclosure</t>
        </is>
      </c>
      <c r="M4" s="6" t="inlineStr">
        <is>
          <t>Model scope</t>
        </is>
      </c>
      <c r="N4" s="6" t="inlineStr">
        <is>
          <t>Source IDs</t>
        </is>
      </c>
    </row>
    <row r="5">
      <c r="A5" s="7" t="inlineStr">
        <is>
          <t>Serving test (final test segment)</t>
        </is>
      </c>
      <c r="B5" s="7" t="inlineStr">
        <is>
          <t>CGMacros 1.0.0</t>
        </is>
      </c>
      <c r="C5" s="11">
        <f>IF(AND(ISNUMBER(Sources!$C$115)),Sources!$C$115,"unavailable")</f>
        <v/>
      </c>
      <c r="D5" s="7" t="inlineStr">
        <is>
          <t>Type 2 group (HbA1c &gt; 6.4 %), same people as training</t>
        </is>
      </c>
      <c r="E5" s="7" t="inlineStr">
        <is>
          <t>5 min</t>
        </is>
      </c>
      <c r="F5" s="7" t="inlineStr">
        <is>
          <t>Chronological 60/10/10/20 within each person: training / selection / calibration / test, purge gaps</t>
        </is>
      </c>
      <c r="G5" s="7" t="inlineStr">
        <is>
          <t>30, 60</t>
        </is>
      </c>
      <c r="H5" s="11">
        <f>IF(AND(ISNUMBER(Sources!$C$109)),Sources!$C$109,"unavailable")</f>
        <v/>
      </c>
      <c r="I5" s="11">
        <f>IF(AND(ISNUMBER(Sources!$C$111)),Sources!$C$111,"unavailable")</f>
        <v/>
      </c>
      <c r="J5" s="11">
        <f>IF(AND(ISNUMBER(Sources!$C$114)),Sources!$C$114,"unavailable")</f>
        <v/>
      </c>
      <c r="K5" s="7" t="inlineStr">
        <is>
          <t>Inspected: the v1/v2 test segment was read before the fusion constraint was declared (retrospective)</t>
        </is>
      </c>
      <c r="L5" s="7" t="inlineStr">
        <is>
          <t>Later recordings of the same 14 people — never 'unseen patients'</t>
        </is>
      </c>
      <c r="M5" s="7" t="inlineStr">
        <is>
          <t>Serving fusion LightGBM + correction</t>
        </is>
      </c>
      <c r="N5" s="7" t="inlineStr">
        <is>
          <t>fus.participants; fus.seg.test.*</t>
        </is>
      </c>
    </row>
    <row r="6">
      <c r="A6" s="7" t="inlineStr">
        <is>
          <t>Serving model selection (validation segment)</t>
        </is>
      </c>
      <c r="B6" s="7" t="inlineStr">
        <is>
          <t>CGMacros 1.0.0</t>
        </is>
      </c>
      <c r="C6" s="11">
        <f>IF(AND(ISNUMBER(Sources!$C$115)),Sources!$C$115,"unavailable")</f>
        <v/>
      </c>
      <c r="D6" s="7" t="inlineStr">
        <is>
          <t>Same 14 people</t>
        </is>
      </c>
      <c r="E6" s="7" t="inlineStr">
        <is>
          <t>5 min</t>
        </is>
      </c>
      <c r="F6" s="7" t="inlineStr">
        <is>
          <t>Validation segment used for model, threshold and adaptation choice</t>
        </is>
      </c>
      <c r="G6" s="7" t="inlineStr">
        <is>
          <t>30, 60</t>
        </is>
      </c>
      <c r="H6" s="11">
        <f>IF(AND(ISNUMBER(Sources!$C$97)),Sources!$C$97,"unavailable")</f>
        <v/>
      </c>
      <c r="I6" s="11">
        <f>IF(AND(ISNUMBER(Sources!$C$99)),Sources!$C$99,"unavailable")</f>
        <v/>
      </c>
      <c r="J6" s="11">
        <f>IF(AND(ISNUMBER(Sources!$C$102)),Sources!$C$102,"unavailable")</f>
        <v/>
      </c>
      <c r="K6" s="7" t="inlineStr">
        <is>
          <t>Used for selection</t>
        </is>
      </c>
      <c r="L6" s="7" t="inlineStr">
        <is>
          <t>—</t>
        </is>
      </c>
      <c r="M6" s="7" t="inlineStr">
        <is>
          <t>Serving candidates</t>
        </is>
      </c>
      <c r="N6" s="7" t="inlineStr">
        <is>
          <t>fus.seg.validation.*</t>
        </is>
      </c>
    </row>
    <row r="7">
      <c r="A7" s="7" t="inlineStr">
        <is>
          <t>Serving calibration segment</t>
        </is>
      </c>
      <c r="B7" s="7" t="inlineStr">
        <is>
          <t>CGMacros 1.0.0</t>
        </is>
      </c>
      <c r="C7" s="11">
        <f>IF(AND(ISNUMBER(Sources!$C$115)),Sources!$C$115,"unavailable")</f>
        <v/>
      </c>
      <c r="D7" s="7" t="inlineStr">
        <is>
          <t>Same 14 people</t>
        </is>
      </c>
      <c r="E7" s="7" t="inlineStr">
        <is>
          <t>5 min</t>
        </is>
      </c>
      <c r="F7" s="7" t="inlineStr">
        <is>
          <t>Split-conformal range calibration</t>
        </is>
      </c>
      <c r="G7" s="7" t="inlineStr">
        <is>
          <t>30, 60</t>
        </is>
      </c>
      <c r="H7" s="11">
        <f>IF(AND(ISNUMBER(Sources!$C$103)),Sources!$C$103,"unavailable")</f>
        <v/>
      </c>
      <c r="I7" s="11">
        <f>IF(AND(ISNUMBER(Sources!$C$105)),Sources!$C$105,"unavailable")</f>
        <v/>
      </c>
      <c r="J7" s="11">
        <f>IF(AND(ISNUMBER(Sources!$C$108)),Sources!$C$108,"unavailable")</f>
        <v/>
      </c>
      <c r="K7" s="7" t="inlineStr">
        <is>
          <t>Used for calibration</t>
        </is>
      </c>
      <c r="L7" s="7" t="inlineStr">
        <is>
          <t>—</t>
        </is>
      </c>
      <c r="M7" s="7" t="inlineStr">
        <is>
          <t>Serving ranges</t>
        </is>
      </c>
      <c r="N7" s="7" t="inlineStr">
        <is>
          <t>fus.seg.calibration.*</t>
        </is>
      </c>
    </row>
    <row r="8">
      <c r="A8" s="7" t="inlineStr">
        <is>
          <t>Excluded CGMacros participants</t>
        </is>
      </c>
      <c r="B8" s="7" t="inlineStr">
        <is>
          <t>CGMacros 1.0.0</t>
        </is>
      </c>
      <c r="C8" s="11">
        <f>IF(AND(ISNUMBER(Sources!$C$116)),Sources!$C$116,"unavailable")</f>
        <v/>
      </c>
      <c r="D8" s="7" t="inlineStr">
        <is>
          <t>Pre-diabetes or no diabetes; replay only</t>
        </is>
      </c>
      <c r="E8" s="7" t="inlineStr">
        <is>
          <t>5 min</t>
        </is>
      </c>
      <c r="F8" s="7" t="inlineStr">
        <is>
          <t>Never used in training or evaluation</t>
        </is>
      </c>
      <c r="G8" s="7" t="inlineStr">
        <is>
          <t>—</t>
        </is>
      </c>
      <c r="H8" s="11" t="inlineStr">
        <is>
          <t>—</t>
        </is>
      </c>
      <c r="I8" s="11" t="inlineStr">
        <is>
          <t>—</t>
        </is>
      </c>
      <c r="J8" s="11" t="inlineStr">
        <is>
          <t>—</t>
        </is>
      </c>
      <c r="K8" s="7" t="inlineStr">
        <is>
          <t>Not evaluated</t>
        </is>
      </c>
      <c r="L8" s="7" t="inlineStr">
        <is>
          <t>—</t>
        </is>
      </c>
      <c r="M8" s="7" t="inlineStr">
        <is>
          <t>Replay only</t>
        </is>
      </c>
      <c r="N8" s="7" t="inlineStr">
        <is>
          <t>fus.excluded; inv.cgm</t>
        </is>
      </c>
    </row>
    <row r="9">
      <c r="A9" s="7" t="inlineStr">
        <is>
          <t>Participant-held-out internal (D-032 nested; D-043…D-053 reuse the folds)</t>
        </is>
      </c>
      <c r="B9" s="7" t="inlineStr">
        <is>
          <t>CGMacros 1.0.0</t>
        </is>
      </c>
      <c r="C9" s="11">
        <f>IF(AND(ISNUMBER(Sources!$C$458)),Sources!$C$458,"unavailable")</f>
        <v/>
      </c>
      <c r="D9" s="7" t="inlineStr">
        <is>
          <t>Each of the 14 people held out entirely once (5 outer folds)</t>
        </is>
      </c>
      <c r="E9" s="7" t="inlineStr">
        <is>
          <t>5 min</t>
        </is>
      </c>
      <c r="F9" s="7" t="inlineStr">
        <is>
          <t>Outer folds assess; inner folds select; calibration people for ranges</t>
        </is>
      </c>
      <c r="G9" s="7" t="inlineStr">
        <is>
          <t>30, 60 (120 in D-043)</t>
        </is>
      </c>
      <c r="H9" s="11" t="inlineStr">
        <is>
          <t>—</t>
        </is>
      </c>
      <c r="I9" s="11" t="inlineStr">
        <is>
          <t>—</t>
        </is>
      </c>
      <c r="J9" s="11" t="inlineStr">
        <is>
          <t>—</t>
        </is>
      </c>
      <c r="K9" s="7" t="inlineStr">
        <is>
          <t>Previously inspected people: internal validation, not an untouched cohort</t>
        </is>
      </c>
      <c r="L9" s="7" t="inlineStr">
        <is>
          <t>Each study opens its outer folds once behind a lock file</t>
        </is>
      </c>
      <c r="M9" s="7" t="inlineStr">
        <is>
          <t>Research procedures (not served)</t>
        </is>
      </c>
      <c r="N9" s="7" t="inlineStr">
        <is>
          <t>inv.cgm_eval; nest.*</t>
        </is>
      </c>
    </row>
    <row r="10">
      <c r="A10" s="7" t="inlineStr">
        <is>
          <t>External (D-032 first opening; D-045 second opening)</t>
        </is>
      </c>
      <c r="B10" s="7" t="inlineStr">
        <is>
          <t>ShanghaiT2DM, figshare 21600933 v5</t>
        </is>
      </c>
      <c r="C10" s="11">
        <f>IF(AND(ISNUMBER(Sources!$C$459)),Sources!$C$459,"unavailable")</f>
        <v/>
      </c>
      <c r="D10" s="7" t="inlineStr">
        <is>
          <t>Type 2 people imported (100) with usable recordings</t>
        </is>
      </c>
      <c r="E10" s="7" t="inlineStr">
        <is>
          <t>15 min</t>
        </is>
      </c>
      <c r="F10" s="7" t="inlineStr">
        <is>
          <t>Assessment only; nothing chosen on this cohort</t>
        </is>
      </c>
      <c r="G10" s="7" t="inlineStr">
        <is>
          <t>30, 60, 120</t>
        </is>
      </c>
      <c r="H10" s="11" t="inlineStr">
        <is>
          <t>—</t>
        </is>
      </c>
      <c r="I10" s="11" t="inlineStr">
        <is>
          <t>—</t>
        </is>
      </c>
      <c r="J10" s="11" t="inlineStr">
        <is>
          <t>—</t>
        </is>
      </c>
      <c r="K10" s="7" t="inlineStr">
        <is>
          <t>Reserved external cohort</t>
        </is>
      </c>
      <c r="L10" s="7" t="inlineStr">
        <is>
          <t>Opened twice (D-032 30/60; D-045 120)</t>
        </is>
      </c>
      <c r="M10" s="7" t="inlineStr">
        <is>
          <t>CGM-only 15-min LightGBM — not the fusion model</t>
        </is>
      </c>
      <c r="N10" s="7" t="inlineStr">
        <is>
          <t>inv.sh; inv.sh_eval</t>
        </is>
      </c>
    </row>
    <row r="11">
      <c r="A11" s="7" t="inlineStr">
        <is>
          <t>Foundation baseline (D-054)</t>
        </is>
      </c>
      <c r="B11" s="7" t="inlineStr">
        <is>
          <t>CGMacros 1.0.0</t>
        </is>
      </c>
      <c r="C11" s="11">
        <f>IF(AND(ISNUMBER(Sources!$C$115)),Sources!$C$115,"unavailable")</f>
        <v/>
      </c>
      <c r="D11" s="7" t="inlineStr">
        <is>
          <t>All 14 Type 2 people, all eligible origins</t>
        </is>
      </c>
      <c r="E11" s="7" t="inlineStr">
        <is>
          <t>5 min</t>
        </is>
      </c>
      <c r="F11" s="7" t="inlineStr">
        <is>
          <t>No training (zero-shot)</t>
        </is>
      </c>
      <c r="G11" s="7" t="inlineStr">
        <is>
          <t>30, 60</t>
        </is>
      </c>
      <c r="H11" s="11">
        <f>IF(AND(ISNUMBER(Sources!$C$455)),Sources!$C$455,"unavailable")</f>
        <v/>
      </c>
      <c r="I11" s="11" t="inlineStr">
        <is>
          <t>—</t>
        </is>
      </c>
      <c r="J11" s="11" t="inlineStr">
        <is>
          <t>—</t>
        </is>
      </c>
      <c r="K11" s="7" t="inlineStr">
        <is>
          <t>Previously inspected people</t>
        </is>
      </c>
      <c r="L11" s="7" t="inlineStr">
        <is>
          <t>—</t>
        </is>
      </c>
      <c r="M11" s="7" t="inlineStr">
        <is>
          <t>Chronos-Bolt-Tiny, CGM only</t>
        </is>
      </c>
      <c r="N11" s="7" t="inlineStr">
        <is>
          <t>fd.origins</t>
        </is>
      </c>
    </row>
    <row r="12">
      <c r="A12" s="7" t="inlineStr">
        <is>
          <t>Synthetic demonstration</t>
        </is>
      </c>
      <c r="B12" s="7" t="inlineStr">
        <is>
          <t>Fictional synthetic participants</t>
        </is>
      </c>
      <c r="C12" s="11" t="inlineStr">
        <is>
          <t>—</t>
        </is>
      </c>
      <c r="D12" s="7" t="inlineStr">
        <is>
          <t>Fictional; labelled synthetic everywhere</t>
        </is>
      </c>
      <c r="E12" s="7" t="inlineStr">
        <is>
          <t>5 min</t>
        </is>
      </c>
      <c r="F12" s="7" t="inlineStr">
        <is>
          <t>—</t>
        </is>
      </c>
      <c r="G12" s="7" t="inlineStr">
        <is>
          <t>30, 60</t>
        </is>
      </c>
      <c r="H12" s="11" t="inlineStr">
        <is>
          <t>—</t>
        </is>
      </c>
      <c r="I12" s="11" t="inlineStr">
        <is>
          <t>—</t>
        </is>
      </c>
      <c r="J12" s="11" t="inlineStr">
        <is>
          <t>—</t>
        </is>
      </c>
      <c r="K12" s="7" t="inlineStr">
        <is>
          <t>Never evidence of performance</t>
        </is>
      </c>
      <c r="L12" s="7" t="inlineStr">
        <is>
          <t>—</t>
        </is>
      </c>
      <c r="M12" s="7" t="inlineStr">
        <is>
          <t>synthetic-demo.lightgbm.dyn-v2.v1</t>
        </is>
      </c>
      <c r="N12" s="7" t="inlineStr">
        <is>
          <t>reg.synthetic; reg.synthetic_fitted</t>
        </is>
      </c>
    </row>
  </sheetData>
  <autoFilter ref="A4:N12"/>
  <hyperlinks>
    <hyperlink xmlns:r="http://schemas.openxmlformats.org/officeDocument/2006/relationships" ref="F1" r:id="rId1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42"/>
  <sheetViews>
    <sheetView showGridLines="1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0" customWidth="1" min="2" max="2"/>
    <col width="9" customWidth="1" min="3" max="3"/>
    <col width="16" customWidth="1" min="4" max="4"/>
    <col width="11" customWidth="1" min="5" max="5"/>
    <col width="13" customWidth="1" min="6" max="6"/>
    <col width="14" customWidth="1" min="7" max="7"/>
    <col width="12" customWidth="1" min="8" max="8"/>
    <col width="11" customWidth="1" min="9" max="9"/>
    <col width="11" customWidth="1" min="10" max="10"/>
    <col width="10" customWidth="1" min="11" max="11"/>
    <col width="10" customWidth="1" min="12" max="12"/>
    <col width="40" customWidth="1" min="13" max="13"/>
    <col width="36" customWidth="1" min="14" max="14"/>
  </cols>
  <sheetData>
    <row r="1">
      <c r="A1" s="1" t="inlineStr">
        <is>
          <t>Forecasts — errors by evaluation, model and horizon</t>
        </is>
      </c>
      <c r="F1" s="2" t="inlineStr">
        <is>
          <t>← About / navigation</t>
        </is>
      </c>
    </row>
    <row r="2">
      <c r="A2" s="9" t="inlineStr">
        <is>
          <t>MAE = mean absolute error, macro (equal weight per participant). Difference = candidate − persistence on the same origins (negative = lower error). Saved paired differences and CIs are participant-bootstrap values from the artifacts.</t>
        </is>
      </c>
    </row>
    <row r="4" ht="32" customHeight="1">
      <c r="A4" s="6" t="inlineStr">
        <is>
          <t>Evaluation group</t>
        </is>
      </c>
      <c r="B4" s="6" t="inlineStr">
        <is>
          <t>Model / procedure</t>
        </is>
      </c>
      <c r="C4" s="6" t="inlineStr">
        <is>
          <t>Horizon (min)</t>
        </is>
      </c>
      <c r="D4" s="6" t="inlineStr">
        <is>
          <t>Aggregation</t>
        </is>
      </c>
      <c r="E4" s="6" t="inlineStr">
        <is>
          <t>MAE (mg/dL)</t>
        </is>
      </c>
      <c r="F4" s="6" t="inlineStr">
        <is>
          <t>Persistence MAE, same origins</t>
        </is>
      </c>
      <c r="G4" s="6" t="inlineStr">
        <is>
          <t>Candidate − persistence (formula)</t>
        </is>
      </c>
      <c r="H4" s="6" t="inlineStr">
        <is>
          <t>Relative change % (formula)</t>
        </is>
      </c>
      <c r="I4" s="6" t="inlineStr">
        <is>
          <t>RMSE (mg/dL)</t>
        </is>
      </c>
      <c r="J4" s="6" t="inlineStr">
        <is>
          <t>Saved paired diff</t>
        </is>
      </c>
      <c r="K4" s="6" t="inlineStr">
        <is>
          <t>CI 95 % low</t>
        </is>
      </c>
      <c r="L4" s="6" t="inlineStr">
        <is>
          <t>CI 95 % high</t>
        </is>
      </c>
      <c r="M4" s="6" t="inlineStr">
        <is>
          <t>Note</t>
        </is>
      </c>
      <c r="N4" s="6" t="inlineStr">
        <is>
          <t>Source IDs</t>
        </is>
      </c>
    </row>
    <row r="5">
      <c r="A5" s="7" t="inlineStr">
        <is>
          <t>Serving model, final test segment (later recordings of the same 14 people; retrospective, inspected)</t>
        </is>
      </c>
      <c r="B5" s="7" t="inlineStr">
        <is>
          <t>Fusion LightGBM + correction (SERVING)</t>
        </is>
      </c>
      <c r="C5" s="7" t="n">
        <v>30</v>
      </c>
      <c r="D5" s="7" t="inlineStr">
        <is>
          <t>macro per participant</t>
        </is>
      </c>
      <c r="E5" s="12">
        <f>IF(AND(ISNUMBER(Sources!$C$25)),Sources!$C$25,"unavailable")</f>
        <v/>
      </c>
      <c r="F5" s="12">
        <f>IF(AND(ISNUMBER(Sources!$C$5)),Sources!$C$5,"unavailable")</f>
        <v/>
      </c>
      <c r="G5" s="12">
        <f>IF(AND(ISNUMBER(E5),ISNUMBER(F5)),E5-F5,"unavailable")</f>
        <v/>
      </c>
      <c r="H5" s="13">
        <f>IF(AND(ISNUMBER(E5),ISNUMBER(F5)),(E5-F5)/F5*100,"unavailable")</f>
        <v/>
      </c>
      <c r="I5" s="12">
        <f>IF(AND(ISNUMBER(Sources!$C$26)),Sources!$C$26,"unavailable")</f>
        <v/>
      </c>
      <c r="J5" s="12">
        <f>IF(AND(ISNUMBER(Sources!$C$37)),Sources!$C$37,"unavailable")</f>
        <v/>
      </c>
      <c r="K5" s="12">
        <f>IF(AND(ISNUMBER(Sources!$C$38)),Sources!$C$38,"unavailable")</f>
        <v/>
      </c>
      <c r="L5" s="12">
        <f>IF(AND(ISNUMBER(Sources!$C$39)),Sources!$C$39,"unavailable")</f>
        <v/>
      </c>
      <c r="M5" s="7" t="inlineStr">
        <is>
          <t>Retrospective; same 14 people as training</t>
        </is>
      </c>
      <c r="N5" s="7" t="inlineStr">
        <is>
          <t>fus.serv.mae30; fus.pers.mae30; fus.serv.rmse30; fus.cmp.sp.d30; fus.cmp.sp.lo30; fus.cmp.sp.hi30</t>
        </is>
      </c>
    </row>
    <row r="6">
      <c r="A6" s="7" t="inlineStr">
        <is>
          <t>Serving model, final test segment (later recordings of the same 14 people; retrospective, inspected)</t>
        </is>
      </c>
      <c r="B6" s="7" t="inlineStr">
        <is>
          <t>Fusion LightGBM + correction (SERVING)</t>
        </is>
      </c>
      <c r="C6" s="7" t="n">
        <v>60</v>
      </c>
      <c r="D6" s="7" t="inlineStr">
        <is>
          <t>macro per participant</t>
        </is>
      </c>
      <c r="E6" s="12">
        <f>IF(AND(ISNUMBER(Sources!$C$29)),Sources!$C$29,"unavailable")</f>
        <v/>
      </c>
      <c r="F6" s="12">
        <f>IF(AND(ISNUMBER(Sources!$C$7)),Sources!$C$7,"unavailable")</f>
        <v/>
      </c>
      <c r="G6" s="12">
        <f>IF(AND(ISNUMBER(E6),ISNUMBER(F6)),E6-F6,"unavailable")</f>
        <v/>
      </c>
      <c r="H6" s="13">
        <f>IF(AND(ISNUMBER(E6),ISNUMBER(F6)),(E6-F6)/F6*100,"unavailable")</f>
        <v/>
      </c>
      <c r="I6" s="12">
        <f>IF(AND(ISNUMBER(Sources!$C$30)),Sources!$C$30,"unavailable")</f>
        <v/>
      </c>
      <c r="J6" s="12">
        <f>IF(AND(ISNUMBER(Sources!$C$40)),Sources!$C$40,"unavailable")</f>
        <v/>
      </c>
      <c r="K6" s="12">
        <f>IF(AND(ISNUMBER(Sources!$C$41)),Sources!$C$41,"unavailable")</f>
        <v/>
      </c>
      <c r="L6" s="12">
        <f>IF(AND(ISNUMBER(Sources!$C$42)),Sources!$C$42,"unavailable")</f>
        <v/>
      </c>
      <c r="M6" s="7" t="inlineStr">
        <is>
          <t>Retrospective; same 14 people as training</t>
        </is>
      </c>
      <c r="N6" s="7" t="inlineStr">
        <is>
          <t>fus.serv.mae60; fus.pers.mae60; fus.serv.rmse60; fus.cmp.sp.d60; fus.cmp.sp.lo60; fus.cmp.sp.hi60</t>
        </is>
      </c>
    </row>
    <row r="7">
      <c r="A7" s="7" t="inlineStr">
        <is>
          <t>Serving model, final test segment (later recordings of the same 14 people; retrospective, inspected)</t>
        </is>
      </c>
      <c r="B7" s="7" t="inlineStr">
        <is>
          <t>CatBoost + profile + correction (not selected)</t>
        </is>
      </c>
      <c r="C7" s="7" t="n">
        <v>30</v>
      </c>
      <c r="D7" s="7" t="inlineStr">
        <is>
          <t>macro per participant</t>
        </is>
      </c>
      <c r="E7" s="12">
        <f>IF(AND(ISNUMBER(Sources!$C$33)),Sources!$C$33,"unavailable")</f>
        <v/>
      </c>
      <c r="F7" s="12">
        <f>IF(AND(ISNUMBER(Sources!$C$5)),Sources!$C$5,"unavailable")</f>
        <v/>
      </c>
      <c r="G7" s="12">
        <f>IF(AND(ISNUMBER(E7),ISNUMBER(F7)),E7-F7,"unavailable")</f>
        <v/>
      </c>
      <c r="H7" s="13">
        <f>IF(AND(ISNUMBER(E7),ISNUMBER(F7)),(E7-F7)/F7*100,"unavailable")</f>
        <v/>
      </c>
      <c r="I7" s="12">
        <f>IF(AND(ISNUMBER(Sources!$C$34)),Sources!$C$34,"unavailable")</f>
        <v/>
      </c>
      <c r="J7" s="12" t="inlineStr">
        <is>
          <t>—</t>
        </is>
      </c>
      <c r="K7" s="12" t="inlineStr">
        <is>
          <t>—</t>
        </is>
      </c>
      <c r="L7" s="12" t="inlineStr">
        <is>
          <t>—</t>
        </is>
      </c>
      <c r="M7" s="7" t="inlineStr"/>
      <c r="N7" s="7" t="inlineStr">
        <is>
          <t>fus.cbpa.mae30; fus.pers.mae30; fus.cbpa.rmse30</t>
        </is>
      </c>
    </row>
    <row r="8">
      <c r="A8" s="7" t="inlineStr">
        <is>
          <t>Serving model, final test segment (later recordings of the same 14 people; retrospective, inspected)</t>
        </is>
      </c>
      <c r="B8" s="7" t="inlineStr">
        <is>
          <t>CatBoost + profile + correction (not selected)</t>
        </is>
      </c>
      <c r="C8" s="7" t="n">
        <v>60</v>
      </c>
      <c r="D8" s="7" t="inlineStr">
        <is>
          <t>macro per participant</t>
        </is>
      </c>
      <c r="E8" s="12">
        <f>IF(AND(ISNUMBER(Sources!$C$35)),Sources!$C$35,"unavailable")</f>
        <v/>
      </c>
      <c r="F8" s="12">
        <f>IF(AND(ISNUMBER(Sources!$C$7)),Sources!$C$7,"unavailable")</f>
        <v/>
      </c>
      <c r="G8" s="12">
        <f>IF(AND(ISNUMBER(E8),ISNUMBER(F8)),E8-F8,"unavailable")</f>
        <v/>
      </c>
      <c r="H8" s="13">
        <f>IF(AND(ISNUMBER(E8),ISNUMBER(F8)),(E8-F8)/F8*100,"unavailable")</f>
        <v/>
      </c>
      <c r="I8" s="12">
        <f>IF(AND(ISNUMBER(Sources!$C$36)),Sources!$C$36,"unavailable")</f>
        <v/>
      </c>
      <c r="J8" s="12" t="inlineStr">
        <is>
          <t>—</t>
        </is>
      </c>
      <c r="K8" s="12" t="inlineStr">
        <is>
          <t>—</t>
        </is>
      </c>
      <c r="L8" s="12" t="inlineStr">
        <is>
          <t>—</t>
        </is>
      </c>
      <c r="M8" s="7" t="inlineStr"/>
      <c r="N8" s="7" t="inlineStr">
        <is>
          <t>fus.cbpa.mae60; fus.pers.mae60; fus.cbpa.rmse60</t>
        </is>
      </c>
    </row>
    <row r="9">
      <c r="A9" s="7" t="inlineStr">
        <is>
          <t>Serving model, final test segment (later recordings of the same 14 people; retrospective, inspected)</t>
        </is>
      </c>
      <c r="B9" s="7" t="inlineStr">
        <is>
          <t>LightGBM + profile, population</t>
        </is>
      </c>
      <c r="C9" s="7" t="n">
        <v>30</v>
      </c>
      <c r="D9" s="7" t="inlineStr">
        <is>
          <t>macro per participant</t>
        </is>
      </c>
      <c r="E9" s="12">
        <f>IF(AND(ISNUMBER(Sources!$C$21)),Sources!$C$21,"unavailable")</f>
        <v/>
      </c>
      <c r="F9" s="12">
        <f>IF(AND(ISNUMBER(Sources!$C$5)),Sources!$C$5,"unavailable")</f>
        <v/>
      </c>
      <c r="G9" s="12">
        <f>IF(AND(ISNUMBER(E9),ISNUMBER(F9)),E9-F9,"unavailable")</f>
        <v/>
      </c>
      <c r="H9" s="13">
        <f>IF(AND(ISNUMBER(E9),ISNUMBER(F9)),(E9-F9)/F9*100,"unavailable")</f>
        <v/>
      </c>
      <c r="I9" s="12">
        <f>IF(AND(ISNUMBER(Sources!$C$22)),Sources!$C$22,"unavailable")</f>
        <v/>
      </c>
      <c r="J9" s="12" t="inlineStr">
        <is>
          <t>—</t>
        </is>
      </c>
      <c r="K9" s="12" t="inlineStr">
        <is>
          <t>—</t>
        </is>
      </c>
      <c r="L9" s="12" t="inlineStr">
        <is>
          <t>—</t>
        </is>
      </c>
      <c r="M9" s="7" t="inlineStr"/>
      <c r="N9" s="7" t="inlineStr">
        <is>
          <t>fus.lgbp.mae30; fus.pers.mae30; fus.lgbp.rmse30</t>
        </is>
      </c>
    </row>
    <row r="10">
      <c r="A10" s="7" t="inlineStr">
        <is>
          <t>Serving model, final test segment (later recordings of the same 14 people; retrospective, inspected)</t>
        </is>
      </c>
      <c r="B10" s="7" t="inlineStr">
        <is>
          <t>LightGBM + profile, population</t>
        </is>
      </c>
      <c r="C10" s="7" t="n">
        <v>60</v>
      </c>
      <c r="D10" s="7" t="inlineStr">
        <is>
          <t>macro per participant</t>
        </is>
      </c>
      <c r="E10" s="12">
        <f>IF(AND(ISNUMBER(Sources!$C$23)),Sources!$C$23,"unavailable")</f>
        <v/>
      </c>
      <c r="F10" s="12">
        <f>IF(AND(ISNUMBER(Sources!$C$7)),Sources!$C$7,"unavailable")</f>
        <v/>
      </c>
      <c r="G10" s="12">
        <f>IF(AND(ISNUMBER(E10),ISNUMBER(F10)),E10-F10,"unavailable")</f>
        <v/>
      </c>
      <c r="H10" s="13">
        <f>IF(AND(ISNUMBER(E10),ISNUMBER(F10)),(E10-F10)/F10*100,"unavailable")</f>
        <v/>
      </c>
      <c r="I10" s="12">
        <f>IF(AND(ISNUMBER(Sources!$C$24)),Sources!$C$24,"unavailable")</f>
        <v/>
      </c>
      <c r="J10" s="12" t="inlineStr">
        <is>
          <t>—</t>
        </is>
      </c>
      <c r="K10" s="12" t="inlineStr">
        <is>
          <t>—</t>
        </is>
      </c>
      <c r="L10" s="12" t="inlineStr">
        <is>
          <t>—</t>
        </is>
      </c>
      <c r="M10" s="7" t="inlineStr"/>
      <c r="N10" s="7" t="inlineStr">
        <is>
          <t>fus.lgbp.mae60; fus.pers.mae60; fus.lgbp.rmse60</t>
        </is>
      </c>
    </row>
    <row r="11">
      <c r="A11" s="7" t="inlineStr">
        <is>
          <t>Serving model, final test segment (later recordings of the same 14 people; retrospective, inspected)</t>
        </is>
      </c>
      <c r="B11" s="7" t="inlineStr">
        <is>
          <t>LightGBM dynamic-only + correction (v2)</t>
        </is>
      </c>
      <c r="C11" s="7" t="n">
        <v>30</v>
      </c>
      <c r="D11" s="7" t="inlineStr">
        <is>
          <t>macro per participant</t>
        </is>
      </c>
      <c r="E11" s="12">
        <f>IF(AND(ISNUMBER(Sources!$C$17)),Sources!$C$17,"unavailable")</f>
        <v/>
      </c>
      <c r="F11" s="12">
        <f>IF(AND(ISNUMBER(Sources!$C$5)),Sources!$C$5,"unavailable")</f>
        <v/>
      </c>
      <c r="G11" s="12">
        <f>IF(AND(ISNUMBER(E11),ISNUMBER(F11)),E11-F11,"unavailable")</f>
        <v/>
      </c>
      <c r="H11" s="13">
        <f>IF(AND(ISNUMBER(E11),ISNUMBER(F11)),(E11-F11)/F11*100,"unavailable")</f>
        <v/>
      </c>
      <c r="I11" s="12">
        <f>IF(AND(ISNUMBER(Sources!$C$18)),Sources!$C$18,"unavailable")</f>
        <v/>
      </c>
      <c r="J11" s="12" t="inlineStr">
        <is>
          <t>—</t>
        </is>
      </c>
      <c r="K11" s="12" t="inlineStr">
        <is>
          <t>—</t>
        </is>
      </c>
      <c r="L11" s="12" t="inlineStr">
        <is>
          <t>—</t>
        </is>
      </c>
      <c r="M11" s="7" t="inlineStr"/>
      <c r="N11" s="7" t="inlineStr">
        <is>
          <t>fus.v2a.mae30; fus.pers.mae30; fus.v2a.rmse30</t>
        </is>
      </c>
    </row>
    <row r="12">
      <c r="A12" s="7" t="inlineStr">
        <is>
          <t>Serving model, final test segment (later recordings of the same 14 people; retrospective, inspected)</t>
        </is>
      </c>
      <c r="B12" s="7" t="inlineStr">
        <is>
          <t>LightGBM dynamic-only + correction (v2)</t>
        </is>
      </c>
      <c r="C12" s="7" t="n">
        <v>60</v>
      </c>
      <c r="D12" s="7" t="inlineStr">
        <is>
          <t>macro per participant</t>
        </is>
      </c>
      <c r="E12" s="12">
        <f>IF(AND(ISNUMBER(Sources!$C$19)),Sources!$C$19,"unavailable")</f>
        <v/>
      </c>
      <c r="F12" s="12">
        <f>IF(AND(ISNUMBER(Sources!$C$7)),Sources!$C$7,"unavailable")</f>
        <v/>
      </c>
      <c r="G12" s="12">
        <f>IF(AND(ISNUMBER(E12),ISNUMBER(F12)),E12-F12,"unavailable")</f>
        <v/>
      </c>
      <c r="H12" s="13">
        <f>IF(AND(ISNUMBER(E12),ISNUMBER(F12)),(E12-F12)/F12*100,"unavailable")</f>
        <v/>
      </c>
      <c r="I12" s="12">
        <f>IF(AND(ISNUMBER(Sources!$C$20)),Sources!$C$20,"unavailable")</f>
        <v/>
      </c>
      <c r="J12" s="12" t="inlineStr">
        <is>
          <t>—</t>
        </is>
      </c>
      <c r="K12" s="12" t="inlineStr">
        <is>
          <t>—</t>
        </is>
      </c>
      <c r="L12" s="12" t="inlineStr">
        <is>
          <t>—</t>
        </is>
      </c>
      <c r="M12" s="7" t="inlineStr"/>
      <c r="N12" s="7" t="inlineStr">
        <is>
          <t>fus.v2a.mae60; fus.pers.mae60; fus.v2a.rmse60</t>
        </is>
      </c>
    </row>
    <row r="13">
      <c r="A13" s="7" t="inlineStr">
        <is>
          <t>Serving model, final test segment (later recordings of the same 14 people; retrospective, inspected)</t>
        </is>
      </c>
      <c r="B13" s="7" t="inlineStr">
        <is>
          <t>Ridge dynamic + profile</t>
        </is>
      </c>
      <c r="C13" s="7" t="n">
        <v>30</v>
      </c>
      <c r="D13" s="7" t="inlineStr">
        <is>
          <t>macro per participant</t>
        </is>
      </c>
      <c r="E13" s="12">
        <f>IF(AND(ISNUMBER(Sources!$C$13)),Sources!$C$13,"unavailable")</f>
        <v/>
      </c>
      <c r="F13" s="12">
        <f>IF(AND(ISNUMBER(Sources!$C$5)),Sources!$C$5,"unavailable")</f>
        <v/>
      </c>
      <c r="G13" s="12">
        <f>IF(AND(ISNUMBER(E13),ISNUMBER(F13)),E13-F13,"unavailable")</f>
        <v/>
      </c>
      <c r="H13" s="13">
        <f>IF(AND(ISNUMBER(E13),ISNUMBER(F13)),(E13-F13)/F13*100,"unavailable")</f>
        <v/>
      </c>
      <c r="I13" s="12">
        <f>IF(AND(ISNUMBER(Sources!$C$14)),Sources!$C$14,"unavailable")</f>
        <v/>
      </c>
      <c r="J13" s="12" t="inlineStr">
        <is>
          <t>—</t>
        </is>
      </c>
      <c r="K13" s="12" t="inlineStr">
        <is>
          <t>—</t>
        </is>
      </c>
      <c r="L13" s="12" t="inlineStr">
        <is>
          <t>—</t>
        </is>
      </c>
      <c r="M13" s="7" t="inlineStr"/>
      <c r="N13" s="7" t="inlineStr">
        <is>
          <t>fus.ridgep.mae30; fus.pers.mae30; fus.ridgep.rmse30</t>
        </is>
      </c>
    </row>
    <row r="14">
      <c r="A14" s="7" t="inlineStr">
        <is>
          <t>Serving model, final test segment (later recordings of the same 14 people; retrospective, inspected)</t>
        </is>
      </c>
      <c r="B14" s="7" t="inlineStr">
        <is>
          <t>Ridge dynamic + profile</t>
        </is>
      </c>
      <c r="C14" s="7" t="n">
        <v>60</v>
      </c>
      <c r="D14" s="7" t="inlineStr">
        <is>
          <t>macro per participant</t>
        </is>
      </c>
      <c r="E14" s="12">
        <f>IF(AND(ISNUMBER(Sources!$C$15)),Sources!$C$15,"unavailable")</f>
        <v/>
      </c>
      <c r="F14" s="12">
        <f>IF(AND(ISNUMBER(Sources!$C$7)),Sources!$C$7,"unavailable")</f>
        <v/>
      </c>
      <c r="G14" s="12">
        <f>IF(AND(ISNUMBER(E14),ISNUMBER(F14)),E14-F14,"unavailable")</f>
        <v/>
      </c>
      <c r="H14" s="13">
        <f>IF(AND(ISNUMBER(E14),ISNUMBER(F14)),(E14-F14)/F14*100,"unavailable")</f>
        <v/>
      </c>
      <c r="I14" s="12">
        <f>IF(AND(ISNUMBER(Sources!$C$16)),Sources!$C$16,"unavailable")</f>
        <v/>
      </c>
      <c r="J14" s="12" t="inlineStr">
        <is>
          <t>—</t>
        </is>
      </c>
      <c r="K14" s="12" t="inlineStr">
        <is>
          <t>—</t>
        </is>
      </c>
      <c r="L14" s="12" t="inlineStr">
        <is>
          <t>—</t>
        </is>
      </c>
      <c r="M14" s="7" t="inlineStr"/>
      <c r="N14" s="7" t="inlineStr">
        <is>
          <t>fus.ridgep.mae60; fus.pers.mae60; fus.ridgep.rmse60</t>
        </is>
      </c>
    </row>
    <row r="15">
      <c r="A15" s="7" t="inlineStr">
        <is>
          <t>Serving model, final test segment (later recordings of the same 14 people; retrospective, inspected)</t>
        </is>
      </c>
      <c r="B15" s="7" t="inlineStr">
        <is>
          <t>Linear trend</t>
        </is>
      </c>
      <c r="C15" s="7" t="n">
        <v>30</v>
      </c>
      <c r="D15" s="7" t="inlineStr">
        <is>
          <t>macro per participant</t>
        </is>
      </c>
      <c r="E15" s="12">
        <f>IF(AND(ISNUMBER(Sources!$C$9)),Sources!$C$9,"unavailable")</f>
        <v/>
      </c>
      <c r="F15" s="12">
        <f>IF(AND(ISNUMBER(Sources!$C$5)),Sources!$C$5,"unavailable")</f>
        <v/>
      </c>
      <c r="G15" s="12">
        <f>IF(AND(ISNUMBER(E15),ISNUMBER(F15)),E15-F15,"unavailable")</f>
        <v/>
      </c>
      <c r="H15" s="13">
        <f>IF(AND(ISNUMBER(E15),ISNUMBER(F15)),(E15-F15)/F15*100,"unavailable")</f>
        <v/>
      </c>
      <c r="I15" s="12">
        <f>IF(AND(ISNUMBER(Sources!$C$10)),Sources!$C$10,"unavailable")</f>
        <v/>
      </c>
      <c r="J15" s="12" t="inlineStr">
        <is>
          <t>—</t>
        </is>
      </c>
      <c r="K15" s="12" t="inlineStr">
        <is>
          <t>—</t>
        </is>
      </c>
      <c r="L15" s="12" t="inlineStr">
        <is>
          <t>—</t>
        </is>
      </c>
      <c r="M15" s="7" t="inlineStr"/>
      <c r="N15" s="7" t="inlineStr">
        <is>
          <t>fus.trend.mae30; fus.pers.mae30; fus.trend.rmse30</t>
        </is>
      </c>
    </row>
    <row r="16">
      <c r="A16" s="7" t="inlineStr">
        <is>
          <t>Serving model, final test segment (later recordings of the same 14 people; retrospective, inspected)</t>
        </is>
      </c>
      <c r="B16" s="7" t="inlineStr">
        <is>
          <t>Linear trend</t>
        </is>
      </c>
      <c r="C16" s="7" t="n">
        <v>60</v>
      </c>
      <c r="D16" s="7" t="inlineStr">
        <is>
          <t>macro per participant</t>
        </is>
      </c>
      <c r="E16" s="12">
        <f>IF(AND(ISNUMBER(Sources!$C$11)),Sources!$C$11,"unavailable")</f>
        <v/>
      </c>
      <c r="F16" s="12">
        <f>IF(AND(ISNUMBER(Sources!$C$7)),Sources!$C$7,"unavailable")</f>
        <v/>
      </c>
      <c r="G16" s="12">
        <f>IF(AND(ISNUMBER(E16),ISNUMBER(F16)),E16-F16,"unavailable")</f>
        <v/>
      </c>
      <c r="H16" s="13">
        <f>IF(AND(ISNUMBER(E16),ISNUMBER(F16)),(E16-F16)/F16*100,"unavailable")</f>
        <v/>
      </c>
      <c r="I16" s="12">
        <f>IF(AND(ISNUMBER(Sources!$C$12)),Sources!$C$12,"unavailable")</f>
        <v/>
      </c>
      <c r="J16" s="12" t="inlineStr">
        <is>
          <t>—</t>
        </is>
      </c>
      <c r="K16" s="12" t="inlineStr">
        <is>
          <t>—</t>
        </is>
      </c>
      <c r="L16" s="12" t="inlineStr">
        <is>
          <t>—</t>
        </is>
      </c>
      <c r="M16" s="7" t="inlineStr"/>
      <c r="N16" s="7" t="inlineStr">
        <is>
          <t>fus.trend.mae60; fus.pers.mae60; fus.trend.rmse60</t>
        </is>
      </c>
    </row>
    <row r="17">
      <c r="A17" s="7" t="inlineStr">
        <is>
          <t>Serving model, final test segment (later recordings of the same 14 people; retrospective, inspected)</t>
        </is>
      </c>
      <c r="B17" s="7" t="inlineStr">
        <is>
          <t>Persistence</t>
        </is>
      </c>
      <c r="C17" s="7" t="n">
        <v>30</v>
      </c>
      <c r="D17" s="7" t="inlineStr">
        <is>
          <t>macro per participant</t>
        </is>
      </c>
      <c r="E17" s="12">
        <f>IF(AND(ISNUMBER(Sources!$C$5)),Sources!$C$5,"unavailable")</f>
        <v/>
      </c>
      <c r="F17" s="12">
        <f>IF(AND(ISNUMBER(Sources!$C$5)),Sources!$C$5,"unavailable")</f>
        <v/>
      </c>
      <c r="G17" s="12">
        <f>IF(AND(ISNUMBER(E17),ISNUMBER(F17)),E17-F17,"unavailable")</f>
        <v/>
      </c>
      <c r="H17" s="13">
        <f>IF(AND(ISNUMBER(E17),ISNUMBER(F17)),(E17-F17)/F17*100,"unavailable")</f>
        <v/>
      </c>
      <c r="I17" s="12">
        <f>IF(AND(ISNUMBER(Sources!$C$6)),Sources!$C$6,"unavailable")</f>
        <v/>
      </c>
      <c r="J17" s="12" t="inlineStr">
        <is>
          <t>—</t>
        </is>
      </c>
      <c r="K17" s="12" t="inlineStr">
        <is>
          <t>—</t>
        </is>
      </c>
      <c r="L17" s="12" t="inlineStr">
        <is>
          <t>—</t>
        </is>
      </c>
      <c r="M17" s="7" t="inlineStr"/>
      <c r="N17" s="7" t="inlineStr">
        <is>
          <t>fus.pers.mae30; fus.pers.mae30; fus.pers.rmse30</t>
        </is>
      </c>
    </row>
    <row r="18">
      <c r="A18" s="7" t="inlineStr">
        <is>
          <t>Serving model, final test segment (later recordings of the same 14 people; retrospective, inspected)</t>
        </is>
      </c>
      <c r="B18" s="7" t="inlineStr">
        <is>
          <t>Persistence</t>
        </is>
      </c>
      <c r="C18" s="7" t="n">
        <v>60</v>
      </c>
      <c r="D18" s="7" t="inlineStr">
        <is>
          <t>macro per participant</t>
        </is>
      </c>
      <c r="E18" s="12">
        <f>IF(AND(ISNUMBER(Sources!$C$7)),Sources!$C$7,"unavailable")</f>
        <v/>
      </c>
      <c r="F18" s="12">
        <f>IF(AND(ISNUMBER(Sources!$C$7)),Sources!$C$7,"unavailable")</f>
        <v/>
      </c>
      <c r="G18" s="12">
        <f>IF(AND(ISNUMBER(E18),ISNUMBER(F18)),E18-F18,"unavailable")</f>
        <v/>
      </c>
      <c r="H18" s="13">
        <f>IF(AND(ISNUMBER(E18),ISNUMBER(F18)),(E18-F18)/F18*100,"unavailable")</f>
        <v/>
      </c>
      <c r="I18" s="12">
        <f>IF(AND(ISNUMBER(Sources!$C$8)),Sources!$C$8,"unavailable")</f>
        <v/>
      </c>
      <c r="J18" s="12" t="inlineStr">
        <is>
          <t>—</t>
        </is>
      </c>
      <c r="K18" s="12" t="inlineStr">
        <is>
          <t>—</t>
        </is>
      </c>
      <c r="L18" s="12" t="inlineStr">
        <is>
          <t>—</t>
        </is>
      </c>
      <c r="M18" s="7" t="inlineStr"/>
      <c r="N18" s="7" t="inlineStr">
        <is>
          <t>fus.pers.mae60; fus.pers.mae60; fus.pers.rmse60</t>
        </is>
      </c>
    </row>
    <row r="19">
      <c r="A19" s="7" t="inlineStr">
        <is>
          <t>Participant-held-out internal (14 CGMacros people, each held out once; previously inspected) (D-032)</t>
        </is>
      </c>
      <c r="B19" s="7" t="inlineStr">
        <is>
          <t>Selected research procedure (Ridge CGM-only in 4/5 folds)</t>
        </is>
      </c>
      <c r="C19" s="7" t="n">
        <v>30</v>
      </c>
      <c r="D19" s="7" t="inlineStr">
        <is>
          <t>macro per participant</t>
        </is>
      </c>
      <c r="E19" s="12">
        <f>IF(AND(ISNUMBER(Sources!$C$191)),Sources!$C$191,"unavailable")</f>
        <v/>
      </c>
      <c r="F19" s="12">
        <f>IF(AND(ISNUMBER(Sources!$C$193)),Sources!$C$193,"unavailable")</f>
        <v/>
      </c>
      <c r="G19" s="12">
        <f>IF(AND(ISNUMBER(E19),ISNUMBER(F19)),E19-F19,"unavailable")</f>
        <v/>
      </c>
      <c r="H19" s="13">
        <f>IF(AND(ISNUMBER(E19),ISNUMBER(F19)),(E19-F19)/F19*100,"unavailable")</f>
        <v/>
      </c>
      <c r="I19" s="12" t="inlineStr">
        <is>
          <t>not in source</t>
        </is>
      </c>
      <c r="J19" s="12" t="inlineStr">
        <is>
          <t>—</t>
        </is>
      </c>
      <c r="K19" s="12" t="inlineStr">
        <is>
          <t>—</t>
        </is>
      </c>
      <c r="L19" s="12" t="inlineStr">
        <is>
          <t>—</t>
        </is>
      </c>
      <c r="M19" s="7" t="inlineStr">
        <is>
          <t>Not served</t>
        </is>
      </c>
      <c r="N19" s="7" t="inlineStr">
        <is>
          <t>nest.sel.mae30; nest.pers.mae30</t>
        </is>
      </c>
    </row>
    <row r="20">
      <c r="A20" s="7" t="inlineStr">
        <is>
          <t>Participant-held-out internal (14 CGMacros people, each held out once; previously inspected) (D-032)</t>
        </is>
      </c>
      <c r="B20" s="7" t="inlineStr">
        <is>
          <t>Selected research procedure (Ridge CGM-only in 4/5 folds)</t>
        </is>
      </c>
      <c r="C20" s="7" t="n">
        <v>60</v>
      </c>
      <c r="D20" s="7" t="inlineStr">
        <is>
          <t>macro per participant</t>
        </is>
      </c>
      <c r="E20" s="12">
        <f>IF(AND(ISNUMBER(Sources!$C$192)),Sources!$C$192,"unavailable")</f>
        <v/>
      </c>
      <c r="F20" s="12">
        <f>IF(AND(ISNUMBER(Sources!$C$194)),Sources!$C$194,"unavailable")</f>
        <v/>
      </c>
      <c r="G20" s="12">
        <f>IF(AND(ISNUMBER(E20),ISNUMBER(F20)),E20-F20,"unavailable")</f>
        <v/>
      </c>
      <c r="H20" s="13">
        <f>IF(AND(ISNUMBER(E20),ISNUMBER(F20)),(E20-F20)/F20*100,"unavailable")</f>
        <v/>
      </c>
      <c r="I20" s="12" t="inlineStr">
        <is>
          <t>not in source</t>
        </is>
      </c>
      <c r="J20" s="12" t="inlineStr">
        <is>
          <t>—</t>
        </is>
      </c>
      <c r="K20" s="12" t="inlineStr">
        <is>
          <t>—</t>
        </is>
      </c>
      <c r="L20" s="12" t="inlineStr">
        <is>
          <t>—</t>
        </is>
      </c>
      <c r="M20" s="7" t="inlineStr">
        <is>
          <t>Not served</t>
        </is>
      </c>
      <c r="N20" s="7" t="inlineStr">
        <is>
          <t>nest.sel.mae60; nest.pers.mae60</t>
        </is>
      </c>
    </row>
    <row r="21">
      <c r="A21" s="7" t="inlineStr">
        <is>
          <t>Participant-held-out internal (14 CGMacros people, each held out once; previously inspected) (D-032)</t>
        </is>
      </c>
      <c r="B21" s="7" t="inlineStr">
        <is>
          <t>v2 recipe refit per fold</t>
        </is>
      </c>
      <c r="C21" s="7" t="n">
        <v>30</v>
      </c>
      <c r="D21" s="7" t="inlineStr">
        <is>
          <t>macro per participant</t>
        </is>
      </c>
      <c r="E21" s="12">
        <f>IF(AND(ISNUMBER(Sources!$C$195)),Sources!$C$195,"unavailable")</f>
        <v/>
      </c>
      <c r="F21" s="12">
        <f>IF(AND(ISNUMBER(Sources!$C$193)),Sources!$C$193,"unavailable")</f>
        <v/>
      </c>
      <c r="G21" s="12">
        <f>IF(AND(ISNUMBER(E21),ISNUMBER(F21)),E21-F21,"unavailable")</f>
        <v/>
      </c>
      <c r="H21" s="13">
        <f>IF(AND(ISNUMBER(E21),ISNUMBER(F21)),(E21-F21)/F21*100,"unavailable")</f>
        <v/>
      </c>
      <c r="I21" s="12" t="inlineStr">
        <is>
          <t>not in source</t>
        </is>
      </c>
      <c r="J21" s="12" t="inlineStr">
        <is>
          <t>—</t>
        </is>
      </c>
      <c r="K21" s="12" t="inlineStr">
        <is>
          <t>—</t>
        </is>
      </c>
      <c r="L21" s="12" t="inlineStr">
        <is>
          <t>—</t>
        </is>
      </c>
      <c r="M21" s="7" t="inlineStr">
        <is>
          <t>Not served</t>
        </is>
      </c>
      <c r="N21" s="7" t="inlineStr">
        <is>
          <t>nest.v2.mae30; nest.pers.mae30</t>
        </is>
      </c>
    </row>
    <row r="22">
      <c r="A22" s="7" t="inlineStr">
        <is>
          <t>Participant-held-out internal (14 CGMacros people, each held out once; previously inspected) (D-032)</t>
        </is>
      </c>
      <c r="B22" s="7" t="inlineStr">
        <is>
          <t>v2 recipe refit per fold</t>
        </is>
      </c>
      <c r="C22" s="7" t="n">
        <v>60</v>
      </c>
      <c r="D22" s="7" t="inlineStr">
        <is>
          <t>macro per participant</t>
        </is>
      </c>
      <c r="E22" s="12">
        <f>IF(AND(ISNUMBER(Sources!$C$196)),Sources!$C$196,"unavailable")</f>
        <v/>
      </c>
      <c r="F22" s="12">
        <f>IF(AND(ISNUMBER(Sources!$C$194)),Sources!$C$194,"unavailable")</f>
        <v/>
      </c>
      <c r="G22" s="12">
        <f>IF(AND(ISNUMBER(E22),ISNUMBER(F22)),E22-F22,"unavailable")</f>
        <v/>
      </c>
      <c r="H22" s="13">
        <f>IF(AND(ISNUMBER(E22),ISNUMBER(F22)),(E22-F22)/F22*100,"unavailable")</f>
        <v/>
      </c>
      <c r="I22" s="12" t="inlineStr">
        <is>
          <t>not in source</t>
        </is>
      </c>
      <c r="J22" s="12" t="inlineStr">
        <is>
          <t>—</t>
        </is>
      </c>
      <c r="K22" s="12" t="inlineStr">
        <is>
          <t>—</t>
        </is>
      </c>
      <c r="L22" s="12" t="inlineStr">
        <is>
          <t>—</t>
        </is>
      </c>
      <c r="M22" s="7" t="inlineStr">
        <is>
          <t>Not served</t>
        </is>
      </c>
      <c r="N22" s="7" t="inlineStr">
        <is>
          <t>nest.v2.mae60; nest.pers.mae60</t>
        </is>
      </c>
    </row>
    <row r="23">
      <c r="A23" s="7" t="inlineStr">
        <is>
          <t>External ShanghaiT2DM, 98 people, CGM-only procedure (not the serving fusion model) (D-032)</t>
        </is>
      </c>
      <c r="B23" s="7" t="inlineStr">
        <is>
          <t>15-min LightGBM, CGM only</t>
        </is>
      </c>
      <c r="C23" s="7" t="n">
        <v>30</v>
      </c>
      <c r="D23" s="7" t="inlineStr">
        <is>
          <t>macro per participant</t>
        </is>
      </c>
      <c r="E23" s="12">
        <f>IF(AND(ISNUMBER(Sources!$C$201)),Sources!$C$201,"unavailable")</f>
        <v/>
      </c>
      <c r="F23" s="12">
        <f>IF(AND(ISNUMBER(Sources!$C$202)),Sources!$C$202,"unavailable")</f>
        <v/>
      </c>
      <c r="G23" s="12">
        <f>IF(AND(ISNUMBER(E23),ISNUMBER(F23)),E23-F23,"unavailable")</f>
        <v/>
      </c>
      <c r="H23" s="13">
        <f>IF(AND(ISNUMBER(E23),ISNUMBER(F23)),(E23-F23)/F23*100,"unavailable")</f>
        <v/>
      </c>
      <c r="I23" s="12" t="inlineStr">
        <is>
          <t>not in source</t>
        </is>
      </c>
      <c r="J23" s="12">
        <f>IF(AND(ISNUMBER(Sources!$C$203)),Sources!$C$203,"unavailable")</f>
        <v/>
      </c>
      <c r="K23" s="12">
        <f>IF(AND(ISNUMBER(Sources!$C$204)),Sources!$C$204,"unavailable")</f>
        <v/>
      </c>
      <c r="L23" s="12">
        <f>IF(AND(ISNUMBER(Sources!$C$205)),Sources!$C$205,"unavailable")</f>
        <v/>
      </c>
      <c r="M23" s="7" t="inlineStr">
        <is>
          <t>Not the fusion model</t>
        </is>
      </c>
      <c r="N23" s="7" t="inlineStr">
        <is>
          <t>ext.cand.mae30; ext.pers.mae30; ext.cmp.mean_diff30; ext.cmp.lo30; ext.cmp.hi30</t>
        </is>
      </c>
    </row>
    <row r="24">
      <c r="A24" s="7" t="inlineStr">
        <is>
          <t>External ShanghaiT2DM, 98 people, CGM-only procedure (not the serving fusion model) (D-032)</t>
        </is>
      </c>
      <c r="B24" s="7" t="inlineStr">
        <is>
          <t>15-min LightGBM, CGM only</t>
        </is>
      </c>
      <c r="C24" s="7" t="n">
        <v>60</v>
      </c>
      <c r="D24" s="7" t="inlineStr">
        <is>
          <t>macro per participant</t>
        </is>
      </c>
      <c r="E24" s="12">
        <f>IF(AND(ISNUMBER(Sources!$C$213)),Sources!$C$213,"unavailable")</f>
        <v/>
      </c>
      <c r="F24" s="12">
        <f>IF(AND(ISNUMBER(Sources!$C$214)),Sources!$C$214,"unavailable")</f>
        <v/>
      </c>
      <c r="G24" s="12">
        <f>IF(AND(ISNUMBER(E24),ISNUMBER(F24)),E24-F24,"unavailable")</f>
        <v/>
      </c>
      <c r="H24" s="13">
        <f>IF(AND(ISNUMBER(E24),ISNUMBER(F24)),(E24-F24)/F24*100,"unavailable")</f>
        <v/>
      </c>
      <c r="I24" s="12" t="inlineStr">
        <is>
          <t>not in source</t>
        </is>
      </c>
      <c r="J24" s="12">
        <f>IF(AND(ISNUMBER(Sources!$C$215)),Sources!$C$215,"unavailable")</f>
        <v/>
      </c>
      <c r="K24" s="12">
        <f>IF(AND(ISNUMBER(Sources!$C$216)),Sources!$C$216,"unavailable")</f>
        <v/>
      </c>
      <c r="L24" s="12">
        <f>IF(AND(ISNUMBER(Sources!$C$217)),Sources!$C$217,"unavailable")</f>
        <v/>
      </c>
      <c r="M24" s="7" t="inlineStr">
        <is>
          <t>Not the fusion model</t>
        </is>
      </c>
      <c r="N24" s="7" t="inlineStr">
        <is>
          <t>ext.cand.mae60; ext.pers.mae60; ext.cmp.mean_diff60; ext.cmp.lo60; ext.cmp.hi60</t>
        </is>
      </c>
    </row>
    <row r="25">
      <c r="A25" s="7" t="inlineStr">
        <is>
          <t>Participant-held-out internal (14 CGMacros people, each held out once; previously inspected) (D-043)</t>
        </is>
      </c>
      <c r="B25" s="7" t="inlineStr">
        <is>
          <t>Two-hour selected procedure, personalised</t>
        </is>
      </c>
      <c r="C25" s="7" t="n">
        <v>30</v>
      </c>
      <c r="D25" s="7" t="inlineStr">
        <is>
          <t>macro per participant</t>
        </is>
      </c>
      <c r="E25" s="12">
        <f>IF(AND(ISNUMBER(Sources!$C$224)),Sources!$C$224,"unavailable")</f>
        <v/>
      </c>
      <c r="F25" s="12">
        <f>IF(AND(ISNUMBER(Sources!$C$225)),Sources!$C$225,"unavailable")</f>
        <v/>
      </c>
      <c r="G25" s="12">
        <f>IF(AND(ISNUMBER(E25),ISNUMBER(F25)),E25-F25,"unavailable")</f>
        <v/>
      </c>
      <c r="H25" s="13">
        <f>IF(AND(ISNUMBER(E25),ISNUMBER(F25)),(E25-F25)/F25*100,"unavailable")</f>
        <v/>
      </c>
      <c r="I25" s="12" t="inlineStr">
        <is>
          <t>not in source</t>
        </is>
      </c>
      <c r="J25" s="12" t="inlineStr">
        <is>
          <t>—</t>
        </is>
      </c>
      <c r="K25" s="12" t="inlineStr">
        <is>
          <t>—</t>
        </is>
      </c>
      <c r="L25" s="12" t="inlineStr">
        <is>
          <t>—</t>
        </is>
      </c>
      <c r="M25" s="7" t="inlineStr">
        <is>
          <t>Not served</t>
        </is>
      </c>
      <c r="N25" s="7" t="inlineStr">
        <is>
          <t>2h.sel.mae30; 2h.pers.mae30</t>
        </is>
      </c>
    </row>
    <row r="26">
      <c r="A26" s="7" t="inlineStr">
        <is>
          <t>External ShanghaiT2DM, 98 people, CGM-only procedure (not the serving fusion model) (D-045)</t>
        </is>
      </c>
      <c r="B26" s="7" t="inlineStr">
        <is>
          <t>15-min LightGBM refit for 120 min</t>
        </is>
      </c>
      <c r="C26" s="7" t="n">
        <v>30</v>
      </c>
      <c r="D26" s="7" t="inlineStr">
        <is>
          <t>macro per participant</t>
        </is>
      </c>
      <c r="E26" s="12">
        <f>IF(AND(ISNUMBER(Sources!$C$247)),Sources!$C$247,"unavailable")</f>
        <v/>
      </c>
      <c r="F26" s="12">
        <f>IF(AND(ISNUMBER(Sources!$C$248)),Sources!$C$248,"unavailable")</f>
        <v/>
      </c>
      <c r="G26" s="12">
        <f>IF(AND(ISNUMBER(E26),ISNUMBER(F26)),E26-F26,"unavailable")</f>
        <v/>
      </c>
      <c r="H26" s="13">
        <f>IF(AND(ISNUMBER(E26),ISNUMBER(F26)),(E26-F26)/F26*100,"unavailable")</f>
        <v/>
      </c>
      <c r="I26" s="12" t="inlineStr">
        <is>
          <t>not in source</t>
        </is>
      </c>
      <c r="J26" s="12" t="inlineStr">
        <is>
          <t>—</t>
        </is>
      </c>
      <c r="K26" s="12" t="inlineStr">
        <is>
          <t>—</t>
        </is>
      </c>
      <c r="L26" s="12" t="inlineStr">
        <is>
          <t>—</t>
        </is>
      </c>
      <c r="M26" s="7" t="inlineStr">
        <is>
          <t>Second opening of the cohort</t>
        </is>
      </c>
      <c r="N26" s="7" t="inlineStr">
        <is>
          <t>2hx.mae30; 2hx.pers30</t>
        </is>
      </c>
    </row>
    <row r="27">
      <c r="A27" s="7" t="inlineStr">
        <is>
          <t>Participant-held-out internal (14 CGMacros people, each held out once; previously inspected) (D-043)</t>
        </is>
      </c>
      <c r="B27" s="7" t="inlineStr">
        <is>
          <t>Two-hour selected procedure, personalised</t>
        </is>
      </c>
      <c r="C27" s="7" t="n">
        <v>60</v>
      </c>
      <c r="D27" s="7" t="inlineStr">
        <is>
          <t>macro per participant</t>
        </is>
      </c>
      <c r="E27" s="12">
        <f>IF(AND(ISNUMBER(Sources!$C$226)),Sources!$C$226,"unavailable")</f>
        <v/>
      </c>
      <c r="F27" s="12">
        <f>IF(AND(ISNUMBER(Sources!$C$227)),Sources!$C$227,"unavailable")</f>
        <v/>
      </c>
      <c r="G27" s="12">
        <f>IF(AND(ISNUMBER(E27),ISNUMBER(F27)),E27-F27,"unavailable")</f>
        <v/>
      </c>
      <c r="H27" s="13">
        <f>IF(AND(ISNUMBER(E27),ISNUMBER(F27)),(E27-F27)/F27*100,"unavailable")</f>
        <v/>
      </c>
      <c r="I27" s="12" t="inlineStr">
        <is>
          <t>not in source</t>
        </is>
      </c>
      <c r="J27" s="12" t="inlineStr">
        <is>
          <t>—</t>
        </is>
      </c>
      <c r="K27" s="12" t="inlineStr">
        <is>
          <t>—</t>
        </is>
      </c>
      <c r="L27" s="12" t="inlineStr">
        <is>
          <t>—</t>
        </is>
      </c>
      <c r="M27" s="7" t="inlineStr">
        <is>
          <t>Not served</t>
        </is>
      </c>
      <c r="N27" s="7" t="inlineStr">
        <is>
          <t>2h.sel.mae60; 2h.pers.mae60</t>
        </is>
      </c>
    </row>
    <row r="28">
      <c r="A28" s="7" t="inlineStr">
        <is>
          <t>External ShanghaiT2DM, 98 people, CGM-only procedure (not the serving fusion model) (D-045)</t>
        </is>
      </c>
      <c r="B28" s="7" t="inlineStr">
        <is>
          <t>15-min LightGBM refit for 120 min</t>
        </is>
      </c>
      <c r="C28" s="7" t="n">
        <v>60</v>
      </c>
      <c r="D28" s="7" t="inlineStr">
        <is>
          <t>macro per participant</t>
        </is>
      </c>
      <c r="E28" s="12">
        <f>IF(AND(ISNUMBER(Sources!$C$249)),Sources!$C$249,"unavailable")</f>
        <v/>
      </c>
      <c r="F28" s="12">
        <f>IF(AND(ISNUMBER(Sources!$C$250)),Sources!$C$250,"unavailable")</f>
        <v/>
      </c>
      <c r="G28" s="12">
        <f>IF(AND(ISNUMBER(E28),ISNUMBER(F28)),E28-F28,"unavailable")</f>
        <v/>
      </c>
      <c r="H28" s="13">
        <f>IF(AND(ISNUMBER(E28),ISNUMBER(F28)),(E28-F28)/F28*100,"unavailable")</f>
        <v/>
      </c>
      <c r="I28" s="12" t="inlineStr">
        <is>
          <t>not in source</t>
        </is>
      </c>
      <c r="J28" s="12" t="inlineStr">
        <is>
          <t>—</t>
        </is>
      </c>
      <c r="K28" s="12" t="inlineStr">
        <is>
          <t>—</t>
        </is>
      </c>
      <c r="L28" s="12" t="inlineStr">
        <is>
          <t>—</t>
        </is>
      </c>
      <c r="M28" s="7" t="inlineStr">
        <is>
          <t>Second opening of the cohort</t>
        </is>
      </c>
      <c r="N28" s="7" t="inlineStr">
        <is>
          <t>2hx.mae60; 2hx.pers60</t>
        </is>
      </c>
    </row>
    <row r="29">
      <c r="A29" s="7" t="inlineStr">
        <is>
          <t>Participant-held-out internal (14 CGMacros people, each held out once; previously inspected) (D-043)</t>
        </is>
      </c>
      <c r="B29" s="7" t="inlineStr">
        <is>
          <t>Two-hour selected procedure, personalised</t>
        </is>
      </c>
      <c r="C29" s="7" t="n">
        <v>120</v>
      </c>
      <c r="D29" s="7" t="inlineStr">
        <is>
          <t>macro per participant</t>
        </is>
      </c>
      <c r="E29" s="12">
        <f>IF(AND(ISNUMBER(Sources!$C$228)),Sources!$C$228,"unavailable")</f>
        <v/>
      </c>
      <c r="F29" s="12">
        <f>IF(AND(ISNUMBER(Sources!$C$229)),Sources!$C$229,"unavailable")</f>
        <v/>
      </c>
      <c r="G29" s="12">
        <f>IF(AND(ISNUMBER(E29),ISNUMBER(F29)),E29-F29,"unavailable")</f>
        <v/>
      </c>
      <c r="H29" s="13">
        <f>IF(AND(ISNUMBER(E29),ISNUMBER(F29)),(E29-F29)/F29*100,"unavailable")</f>
        <v/>
      </c>
      <c r="I29" s="12" t="inlineStr">
        <is>
          <t>not in source</t>
        </is>
      </c>
      <c r="J29" s="12">
        <f>IF(AND(ISNUMBER(Sources!$C$230)),Sources!$C$230,"unavailable")</f>
        <v/>
      </c>
      <c r="K29" s="12">
        <f>IF(AND(ISNUMBER(Sources!$C$231)),Sources!$C$231,"unavailable")</f>
        <v/>
      </c>
      <c r="L29" s="12">
        <f>IF(AND(ISNUMBER(Sources!$C$232)),Sources!$C$232,"unavailable")</f>
        <v/>
      </c>
      <c r="M29" s="7" t="inlineStr">
        <is>
          <t>Not served</t>
        </is>
      </c>
      <c r="N29" s="7" t="inlineStr">
        <is>
          <t>2h.sel.mae120; 2h.pers.mae120; 2h.cmp.d; 2h.cmp.lo; 2h.cmp.hi</t>
        </is>
      </c>
    </row>
    <row r="30">
      <c r="A30" s="7" t="inlineStr">
        <is>
          <t>External ShanghaiT2DM, 98 people, CGM-only procedure (not the serving fusion model) (D-045)</t>
        </is>
      </c>
      <c r="B30" s="7" t="inlineStr">
        <is>
          <t>15-min LightGBM refit for 120 min</t>
        </is>
      </c>
      <c r="C30" s="7" t="n">
        <v>120</v>
      </c>
      <c r="D30" s="7" t="inlineStr">
        <is>
          <t>macro per participant</t>
        </is>
      </c>
      <c r="E30" s="12">
        <f>IF(AND(ISNUMBER(Sources!$C$251)),Sources!$C$251,"unavailable")</f>
        <v/>
      </c>
      <c r="F30" s="12">
        <f>IF(AND(ISNUMBER(Sources!$C$252)),Sources!$C$252,"unavailable")</f>
        <v/>
      </c>
      <c r="G30" s="12">
        <f>IF(AND(ISNUMBER(E30),ISNUMBER(F30)),E30-F30,"unavailable")</f>
        <v/>
      </c>
      <c r="H30" s="13">
        <f>IF(AND(ISNUMBER(E30),ISNUMBER(F30)),(E30-F30)/F30*100,"unavailable")</f>
        <v/>
      </c>
      <c r="I30" s="12" t="inlineStr">
        <is>
          <t>not in source</t>
        </is>
      </c>
      <c r="J30" s="12">
        <f>IF(AND(ISNUMBER(Sources!$C$253)),Sources!$C$253,"unavailable")</f>
        <v/>
      </c>
      <c r="K30" s="12">
        <f>IF(AND(ISNUMBER(Sources!$C$254)),Sources!$C$254,"unavailable")</f>
        <v/>
      </c>
      <c r="L30" s="12">
        <f>IF(AND(ISNUMBER(Sources!$C$255)),Sources!$C$255,"unavailable")</f>
        <v/>
      </c>
      <c r="M30" s="7" t="inlineStr">
        <is>
          <t>Second opening of the cohort</t>
        </is>
      </c>
      <c r="N30" s="7" t="inlineStr">
        <is>
          <t>2hx.mae120; 2hx.pers120; 2hx.cmp.mean_diff; 2hx.cmp.lo; 2hx.cmp.hi</t>
        </is>
      </c>
    </row>
    <row r="31">
      <c r="A31" s="7" t="inlineStr">
        <is>
          <t>Participant-held-out internal (14 CGMacros people, each held out once; previously inspected) (D-053)</t>
        </is>
      </c>
      <c r="B31" s="7" t="inlineStr">
        <is>
          <t>Constrained selection S (not adopted)</t>
        </is>
      </c>
      <c r="C31" s="7" t="n">
        <v>30</v>
      </c>
      <c r="D31" s="7" t="inlineStr">
        <is>
          <t>macro per participant</t>
        </is>
      </c>
      <c r="E31" s="12">
        <f>IF(AND(ISNUMBER(Sources!$C$389)),Sources!$C$389,"unavailable")</f>
        <v/>
      </c>
      <c r="F31" s="12">
        <f>IF(AND(ISNUMBER(Sources!$C$393)),Sources!$C$393,"unavailable")</f>
        <v/>
      </c>
      <c r="G31" s="12">
        <f>IF(AND(ISNUMBER(E31),ISNUMBER(F31)),E31-F31,"unavailable")</f>
        <v/>
      </c>
      <c r="H31" s="13">
        <f>IF(AND(ISNUMBER(E31),ISNUMBER(F31)),(E31-F31)/F31*100,"unavailable")</f>
        <v/>
      </c>
      <c r="I31" s="12" t="inlineStr">
        <is>
          <t>not in source</t>
        </is>
      </c>
      <c r="J31" s="12" t="inlineStr">
        <is>
          <t>—</t>
        </is>
      </c>
      <c r="K31" s="12" t="inlineStr">
        <is>
          <t>—</t>
        </is>
      </c>
      <c r="L31" s="12" t="inlineStr">
        <is>
          <t>—</t>
        </is>
      </c>
      <c r="M31" s="7" t="inlineStr">
        <is>
          <t>Gate failed; not adopted</t>
        </is>
      </c>
      <c r="N31" s="7" t="inlineStr">
        <is>
          <t>cs.S.mae30; cs.persistence.mae30</t>
        </is>
      </c>
    </row>
    <row r="32">
      <c r="A32" s="7" t="inlineStr">
        <is>
          <t>Participant-held-out internal (14 CGMacros people, each held out once; previously inspected) (D-053)</t>
        </is>
      </c>
      <c r="B32" s="7" t="inlineStr">
        <is>
          <t>Serving recipe refitted in the same folds (R0)</t>
        </is>
      </c>
      <c r="C32" s="7" t="n">
        <v>30</v>
      </c>
      <c r="D32" s="7" t="inlineStr">
        <is>
          <t>macro per participant</t>
        </is>
      </c>
      <c r="E32" s="12">
        <f>IF(AND(ISNUMBER(Sources!$C$391)),Sources!$C$391,"unavailable")</f>
        <v/>
      </c>
      <c r="F32" s="12">
        <f>IF(AND(ISNUMBER(Sources!$C$393)),Sources!$C$393,"unavailable")</f>
        <v/>
      </c>
      <c r="G32" s="12">
        <f>IF(AND(ISNUMBER(E32),ISNUMBER(F32)),E32-F32,"unavailable")</f>
        <v/>
      </c>
      <c r="H32" s="13">
        <f>IF(AND(ISNUMBER(E32),ISNUMBER(F32)),(E32-F32)/F32*100,"unavailable")</f>
        <v/>
      </c>
      <c r="I32" s="12" t="inlineStr">
        <is>
          <t>not in source</t>
        </is>
      </c>
      <c r="J32" s="12" t="inlineStr">
        <is>
          <t>—</t>
        </is>
      </c>
      <c r="K32" s="12" t="inlineStr">
        <is>
          <t>—</t>
        </is>
      </c>
      <c r="L32" s="12" t="inlineStr">
        <is>
          <t>—</t>
        </is>
      </c>
      <c r="M32" s="7" t="inlineStr"/>
      <c r="N32" s="7" t="inlineStr">
        <is>
          <t>cs.R0.mae30; cs.persistence.mae30</t>
        </is>
      </c>
    </row>
    <row r="33">
      <c r="A33" s="7" t="inlineStr">
        <is>
          <t>Participant-held-out internal (14 CGMacros people, each held out once; previously inspected) — all origins (D-054)</t>
        </is>
      </c>
      <c r="B33" s="7" t="inlineStr">
        <is>
          <t>Chronos-Bolt-Tiny zero-shot, CGM only</t>
        </is>
      </c>
      <c r="C33" s="7" t="n">
        <v>30</v>
      </c>
      <c r="D33" s="7" t="inlineStr">
        <is>
          <t>macro per participant</t>
        </is>
      </c>
      <c r="E33" s="12">
        <f>IF(AND(ISNUMBER(Sources!$C$433)),Sources!$C$433,"unavailable")</f>
        <v/>
      </c>
      <c r="F33" s="12">
        <f>IF(AND(ISNUMBER(Sources!$C$435)),Sources!$C$435,"unavailable")</f>
        <v/>
      </c>
      <c r="G33" s="12">
        <f>IF(AND(ISNUMBER(E33),ISNUMBER(F33)),E33-F33,"unavailable")</f>
        <v/>
      </c>
      <c r="H33" s="13">
        <f>IF(AND(ISNUMBER(E33),ISNUMBER(F33)),(E33-F33)/F33*100,"unavailable")</f>
        <v/>
      </c>
      <c r="I33" s="12" t="inlineStr">
        <is>
          <t>not in source</t>
        </is>
      </c>
      <c r="J33" s="12" t="inlineStr">
        <is>
          <t>—</t>
        </is>
      </c>
      <c r="K33" s="12" t="inlineStr">
        <is>
          <t>—</t>
        </is>
      </c>
      <c r="L33" s="12" t="inlineStr">
        <is>
          <t>—</t>
        </is>
      </c>
      <c r="M33" s="7" t="inlineStr">
        <is>
          <t>Not fine-tuned, not served</t>
        </is>
      </c>
      <c r="N33" s="7" t="inlineStr">
        <is>
          <t>fd.FM30; fd.P30</t>
        </is>
      </c>
    </row>
    <row r="34">
      <c r="A34" s="7" t="inlineStr">
        <is>
          <t>Participant-held-out internal (14 CGMacros people, each held out once; previously inspected) (D-053)</t>
        </is>
      </c>
      <c r="B34" s="7" t="inlineStr">
        <is>
          <t>Constrained selection S (not adopted)</t>
        </is>
      </c>
      <c r="C34" s="7" t="n">
        <v>60</v>
      </c>
      <c r="D34" s="7" t="inlineStr">
        <is>
          <t>macro per participant</t>
        </is>
      </c>
      <c r="E34" s="12">
        <f>IF(AND(ISNUMBER(Sources!$C$390)),Sources!$C$390,"unavailable")</f>
        <v/>
      </c>
      <c r="F34" s="12">
        <f>IF(AND(ISNUMBER(Sources!$C$394)),Sources!$C$394,"unavailable")</f>
        <v/>
      </c>
      <c r="G34" s="12">
        <f>IF(AND(ISNUMBER(E34),ISNUMBER(F34)),E34-F34,"unavailable")</f>
        <v/>
      </c>
      <c r="H34" s="13">
        <f>IF(AND(ISNUMBER(E34),ISNUMBER(F34)),(E34-F34)/F34*100,"unavailable")</f>
        <v/>
      </c>
      <c r="I34" s="12" t="inlineStr">
        <is>
          <t>not in source</t>
        </is>
      </c>
      <c r="J34" s="12" t="inlineStr">
        <is>
          <t>—</t>
        </is>
      </c>
      <c r="K34" s="12" t="inlineStr">
        <is>
          <t>—</t>
        </is>
      </c>
      <c r="L34" s="12" t="inlineStr">
        <is>
          <t>—</t>
        </is>
      </c>
      <c r="M34" s="7" t="inlineStr">
        <is>
          <t>Gate failed; not adopted</t>
        </is>
      </c>
      <c r="N34" s="7" t="inlineStr">
        <is>
          <t>cs.S.mae60; cs.persistence.mae60</t>
        </is>
      </c>
    </row>
    <row r="35">
      <c r="A35" s="7" t="inlineStr">
        <is>
          <t>Participant-held-out internal (14 CGMacros people, each held out once; previously inspected) (D-053)</t>
        </is>
      </c>
      <c r="B35" s="7" t="inlineStr">
        <is>
          <t>Serving recipe refitted in the same folds (R0)</t>
        </is>
      </c>
      <c r="C35" s="7" t="n">
        <v>60</v>
      </c>
      <c r="D35" s="7" t="inlineStr">
        <is>
          <t>macro per participant</t>
        </is>
      </c>
      <c r="E35" s="12">
        <f>IF(AND(ISNUMBER(Sources!$C$392)),Sources!$C$392,"unavailable")</f>
        <v/>
      </c>
      <c r="F35" s="12">
        <f>IF(AND(ISNUMBER(Sources!$C$394)),Sources!$C$394,"unavailable")</f>
        <v/>
      </c>
      <c r="G35" s="12">
        <f>IF(AND(ISNUMBER(E35),ISNUMBER(F35)),E35-F35,"unavailable")</f>
        <v/>
      </c>
      <c r="H35" s="13">
        <f>IF(AND(ISNUMBER(E35),ISNUMBER(F35)),(E35-F35)/F35*100,"unavailable")</f>
        <v/>
      </c>
      <c r="I35" s="12" t="inlineStr">
        <is>
          <t>not in source</t>
        </is>
      </c>
      <c r="J35" s="12">
        <f>IF(AND(ISNUMBER(Sources!$C$397)),Sources!$C$397,"unavailable")</f>
        <v/>
      </c>
      <c r="K35" s="12">
        <f>IF(AND(ISNUMBER(Sources!$C$398)),Sources!$C$398,"unavailable")</f>
        <v/>
      </c>
      <c r="L35" s="12">
        <f>IF(AND(ISNUMBER(Sources!$C$399)),Sources!$C$399,"unavailable")</f>
        <v/>
      </c>
      <c r="M35" s="7" t="inlineStr">
        <is>
          <t>Saved diff on this row = S − R0</t>
        </is>
      </c>
      <c r="N35" s="7" t="inlineStr">
        <is>
          <t>cs.R0.mae60; cs.persistence.mae60; cs.p60.mean_diff; cs.p60.lo; cs.p60.hi</t>
        </is>
      </c>
    </row>
    <row r="36">
      <c r="A36" s="7" t="inlineStr">
        <is>
          <t>Participant-held-out internal (14 CGMacros people, each held out once; previously inspected) — all origins (D-054)</t>
        </is>
      </c>
      <c r="B36" s="7" t="inlineStr">
        <is>
          <t>Chronos-Bolt-Tiny zero-shot, CGM only</t>
        </is>
      </c>
      <c r="C36" s="7" t="n">
        <v>60</v>
      </c>
      <c r="D36" s="7" t="inlineStr">
        <is>
          <t>macro per participant</t>
        </is>
      </c>
      <c r="E36" s="12">
        <f>IF(AND(ISNUMBER(Sources!$C$432)),Sources!$C$432,"unavailable")</f>
        <v/>
      </c>
      <c r="F36" s="12">
        <f>IF(AND(ISNUMBER(Sources!$C$434)),Sources!$C$434,"unavailable")</f>
        <v/>
      </c>
      <c r="G36" s="12">
        <f>IF(AND(ISNUMBER(E36),ISNUMBER(F36)),E36-F36,"unavailable")</f>
        <v/>
      </c>
      <c r="H36" s="13">
        <f>IF(AND(ISNUMBER(E36),ISNUMBER(F36)),(E36-F36)/F36*100,"unavailable")</f>
        <v/>
      </c>
      <c r="I36" s="12" t="inlineStr">
        <is>
          <t>not in source</t>
        </is>
      </c>
      <c r="J36" s="12">
        <f>IF(AND(ISNUMBER(Sources!$C$437)),Sources!$C$437,"unavailable")</f>
        <v/>
      </c>
      <c r="K36" s="12">
        <f>IF(AND(ISNUMBER(Sources!$C$438)),Sources!$C$438,"unavailable")</f>
        <v/>
      </c>
      <c r="L36" s="12">
        <f>IF(AND(ISNUMBER(Sources!$C$439)),Sources!$C$439,"unavailable")</f>
        <v/>
      </c>
      <c r="M36" s="7" t="inlineStr">
        <is>
          <t>Not fine-tuned, not served</t>
        </is>
      </c>
      <c r="N36" s="7" t="inlineStr">
        <is>
          <t>fd.FM60; fd.P60; fd.fp.mean; fd.fp.lo; fd.fp.hi</t>
        </is>
      </c>
    </row>
    <row r="39">
      <c r="A39" s="3" t="inlineStr">
        <is>
          <t>Chart data: serving test MAE vs persistence (references the table above)</t>
        </is>
      </c>
    </row>
    <row r="40">
      <c r="A40" t="inlineStr">
        <is>
          <t>Horizon</t>
        </is>
      </c>
      <c r="B40" t="inlineStr">
        <is>
          <t>Serving fusion LightGBM</t>
        </is>
      </c>
      <c r="C40" t="inlineStr">
        <is>
          <t>Persistence</t>
        </is>
      </c>
    </row>
    <row r="41">
      <c r="A41" t="inlineStr">
        <is>
          <t>30 min</t>
        </is>
      </c>
      <c r="B41" s="14">
        <f>E5</f>
        <v/>
      </c>
      <c r="C41" s="14">
        <f>F5</f>
        <v/>
      </c>
    </row>
    <row r="42">
      <c r="A42" t="inlineStr">
        <is>
          <t>60 min</t>
        </is>
      </c>
      <c r="B42" s="14">
        <f>E6</f>
        <v/>
      </c>
      <c r="C42" s="14">
        <f>F6</f>
        <v/>
      </c>
    </row>
  </sheetData>
  <autoFilter ref="A4:N36"/>
  <hyperlinks>
    <hyperlink xmlns:r="http://schemas.openxmlformats.org/officeDocument/2006/relationships" ref="F1" r:id="rId1"/>
  </hyperlinks>
  <pageMargins left="0.75" right="0.75" top="1" bottom="1" header="0.5" footer="0.5"/>
  <pageSetup orientation="landscape" fitToHeight="0" fitToWidth="1"/>
  <drawing xmlns:r="http://schemas.openxmlformats.org/officeDocument/2006/relationships" r:id="rId2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73"/>
  <sheetViews>
    <sheetView showGridLines="1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6" customWidth="1" min="2" max="2"/>
    <col width="13" customWidth="1" min="3" max="3"/>
    <col width="12" customWidth="1" min="4" max="4"/>
    <col width="12" customWidth="1" min="5" max="5"/>
    <col width="12" customWidth="1" min="6" max="6"/>
    <col width="56" customWidth="1" min="7" max="7"/>
    <col width="13" customWidth="1" min="8" max="8"/>
    <col width="10" customWidth="1" min="9" max="9"/>
    <col width="34" customWidth="1" min="10" max="10"/>
  </cols>
  <sheetData>
    <row r="1">
      <c r="A1" s="1" t="inlineStr">
        <is>
          <t>Warnings and prediction ranges</t>
        </is>
      </c>
      <c r="F1" s="2" t="inlineStr">
        <is>
          <t>← About / navigation</t>
        </is>
      </c>
    </row>
    <row r="2">
      <c r="A2" s="9" t="inlineStr">
        <is>
          <t>Numerator and denominator are shown for every share. Notice shares use ALL onsets; the median lead uses DETECTED onsets. False-alarm rates divide by the saved observed / eligible patient-day denominators (not by rounded hours).</t>
        </is>
      </c>
    </row>
    <row r="4" ht="32" customHeight="1">
      <c r="A4" s="6" t="inlineStr">
        <is>
          <t>Section</t>
        </is>
      </c>
      <c r="B4" s="6" t="inlineStr">
        <is>
          <t>Metric</t>
        </is>
      </c>
      <c r="C4" s="6" t="inlineStr">
        <is>
          <t>Value (formula)</t>
        </is>
      </c>
      <c r="D4" s="6" t="inlineStr">
        <is>
          <t>Unit</t>
        </is>
      </c>
      <c r="E4" s="6" t="inlineStr">
        <is>
          <t>Numerator</t>
        </is>
      </c>
      <c r="F4" s="6" t="inlineStr">
        <is>
          <t>Denominator</t>
        </is>
      </c>
      <c r="G4" s="6" t="inlineStr">
        <is>
          <t>Definition / denominator meaning</t>
        </is>
      </c>
      <c r="H4" s="6" t="inlineStr">
        <is>
          <t>Saved value to agree with</t>
        </is>
      </c>
      <c r="I4" s="6" t="inlineStr">
        <is>
          <t>Agrees?</t>
        </is>
      </c>
      <c r="J4" s="6" t="inlineStr">
        <is>
          <t>Source IDs</t>
        </is>
      </c>
    </row>
    <row r="5">
      <c r="A5" s="7" t="inlineStr">
        <is>
          <t>Serving warning (test)</t>
        </is>
      </c>
      <c r="B5" s="7" t="inlineStr">
        <is>
          <t>Onsets (eligible new sustained &gt; 180 episodes)</t>
        </is>
      </c>
      <c r="C5" s="15">
        <f>IF(AND(ISNUMBER(Sources!$C$61)),Sources!$C$61,"unavailable")</f>
        <v/>
      </c>
      <c r="D5" s="7" t="inlineStr">
        <is>
          <t>onsets</t>
        </is>
      </c>
      <c r="E5" s="16" t="inlineStr">
        <is>
          <t>—</t>
        </is>
      </c>
      <c r="F5" s="16" t="inlineStr">
        <is>
          <t>—</t>
        </is>
      </c>
      <c r="G5" s="7" t="inlineStr">
        <is>
          <t>Distinct new onsets; not origins</t>
        </is>
      </c>
      <c r="H5" s="7" t="inlineStr">
        <is>
          <t>—</t>
        </is>
      </c>
      <c r="I5" s="7" t="inlineStr">
        <is>
          <t>—</t>
        </is>
      </c>
      <c r="J5" s="7" t="inlineStr">
        <is>
          <t>fus.ev.true_onsets</t>
        </is>
      </c>
    </row>
    <row r="6">
      <c r="A6" s="7" t="inlineStr">
        <is>
          <t>Serving warning (test)</t>
        </is>
      </c>
      <c r="B6" s="7" t="inlineStr">
        <is>
          <t>Detected onsets</t>
        </is>
      </c>
      <c r="C6" s="15">
        <f>IF(AND(ISNUMBER(Sources!$C$62)),Sources!$C$62,"unavailable")</f>
        <v/>
      </c>
      <c r="D6" s="7" t="inlineStr">
        <is>
          <t>onsets</t>
        </is>
      </c>
      <c r="E6" s="16" t="inlineStr">
        <is>
          <t>—</t>
        </is>
      </c>
      <c r="F6" s="16" t="inlineStr">
        <is>
          <t>—</t>
        </is>
      </c>
      <c r="G6" s="7" t="inlineStr">
        <is>
          <t>Onsets matched to a warning episode</t>
        </is>
      </c>
      <c r="H6" s="7" t="inlineStr">
        <is>
          <t>—</t>
        </is>
      </c>
      <c r="I6" s="7" t="inlineStr">
        <is>
          <t>—</t>
        </is>
      </c>
      <c r="J6" s="7" t="inlineStr">
        <is>
          <t>fus.ev.detected_onsets</t>
        </is>
      </c>
    </row>
    <row r="7">
      <c r="A7" s="7" t="inlineStr">
        <is>
          <t>Serving warning (test)</t>
        </is>
      </c>
      <c r="B7" s="7" t="inlineStr">
        <is>
          <t>Missed onsets</t>
        </is>
      </c>
      <c r="C7" s="15">
        <f>IF(AND(ISNUMBER(Sources!$C$61),ISNUMBER(Sources!$C$62)),Sources!$C$61-Sources!$C$62,"unavailable")</f>
        <v/>
      </c>
      <c r="D7" s="7" t="inlineStr">
        <is>
          <t>onsets</t>
        </is>
      </c>
      <c r="E7" s="16" t="inlineStr">
        <is>
          <t>—</t>
        </is>
      </c>
      <c r="F7" s="16" t="inlineStr">
        <is>
          <t>—</t>
        </is>
      </c>
      <c r="G7" s="7" t="inlineStr"/>
      <c r="H7" s="7" t="inlineStr">
        <is>
          <t>—</t>
        </is>
      </c>
      <c r="I7" s="7" t="inlineStr">
        <is>
          <t>—</t>
        </is>
      </c>
      <c r="J7" s="7" t="inlineStr">
        <is>
          <t>fus.ev.true_onsets; fus.ev.detected_onsets</t>
        </is>
      </c>
    </row>
    <row r="8">
      <c r="A8" s="7" t="inlineStr">
        <is>
          <t>Serving warning (test)</t>
        </is>
      </c>
      <c r="B8" s="7" t="inlineStr">
        <is>
          <t>Detection share (detected / all onsets)</t>
        </is>
      </c>
      <c r="C8" s="17">
        <f>IF(AND(ISNUMBER(Sources!$C$62),ISNUMBER(Sources!$C$61)),Sources!$C$62/Sources!$C$61,"unavailable")</f>
        <v/>
      </c>
      <c r="D8" s="7" t="inlineStr">
        <is>
          <t>share</t>
        </is>
      </c>
      <c r="E8" s="16">
        <f>IF(AND(ISNUMBER(Sources!$C$62)),Sources!$C$62,"unavailable")</f>
        <v/>
      </c>
      <c r="F8" s="16">
        <f>IF(AND(ISNUMBER(Sources!$C$61)),Sources!$C$61,"unavailable")</f>
        <v/>
      </c>
      <c r="G8" s="7" t="inlineStr">
        <is>
          <t>Recall over all onsets</t>
        </is>
      </c>
      <c r="H8" s="7" t="inlineStr">
        <is>
          <t>—</t>
        </is>
      </c>
      <c r="I8" s="7" t="inlineStr">
        <is>
          <t>—</t>
        </is>
      </c>
      <c r="J8" s="7" t="inlineStr">
        <is>
          <t>fus.ev.detected_onsets; fus.ev.true_onsets</t>
        </is>
      </c>
    </row>
    <row r="9">
      <c r="A9" s="7" t="inlineStr">
        <is>
          <t>Serving warning (test)</t>
        </is>
      </c>
      <c r="B9" s="7" t="inlineStr">
        <is>
          <t>Warned ≥ 15 min ahead, share of ALL onsets</t>
        </is>
      </c>
      <c r="C9" s="17">
        <f>IF(AND(ISNUMBER(Sources!$C$125),ISNUMBER(Sources!$C$123)),Sources!$C$125/Sources!$C$123,"unavailable")</f>
        <v/>
      </c>
      <c r="D9" s="7" t="inlineStr">
        <is>
          <t>share</t>
        </is>
      </c>
      <c r="E9" s="16">
        <f>IF(AND(ISNUMBER(Sources!$C$125)),Sources!$C$125,"unavailable")</f>
        <v/>
      </c>
      <c r="F9" s="16">
        <f>IF(AND(ISNUMBER(Sources!$C$123)),Sources!$C$123,"unavailable")</f>
        <v/>
      </c>
      <c r="G9" s="7" t="inlineStr">
        <is>
          <t>All onsets; a missed onset counts against it</t>
        </is>
      </c>
      <c r="H9" s="7" t="inlineStr">
        <is>
          <t>—</t>
        </is>
      </c>
      <c r="I9" s="7" t="inlineStr">
        <is>
          <t>—</t>
        </is>
      </c>
      <c r="J9" s="7" t="inlineStr">
        <is>
          <t>wu.ge15; wu.onsets</t>
        </is>
      </c>
    </row>
    <row r="10">
      <c r="A10" s="7" t="inlineStr">
        <is>
          <t>Serving warning (test)</t>
        </is>
      </c>
      <c r="B10" s="7" t="inlineStr">
        <is>
          <t>Warned ≥ 30 min ahead, share of ALL onsets</t>
        </is>
      </c>
      <c r="C10" s="17">
        <f>IF(AND(ISNUMBER(Sources!$C$126),ISNUMBER(Sources!$C$123)),Sources!$C$126/Sources!$C$123,"unavailable")</f>
        <v/>
      </c>
      <c r="D10" s="7" t="inlineStr">
        <is>
          <t>share</t>
        </is>
      </c>
      <c r="E10" s="16">
        <f>IF(AND(ISNUMBER(Sources!$C$126)),Sources!$C$126,"unavailable")</f>
        <v/>
      </c>
      <c r="F10" s="16">
        <f>IF(AND(ISNUMBER(Sources!$C$123)),Sources!$C$123,"unavailable")</f>
        <v/>
      </c>
      <c r="G10" s="7" t="inlineStr">
        <is>
          <t>All onsets (headline 48.4 %)</t>
        </is>
      </c>
      <c r="H10" s="7" t="inlineStr">
        <is>
          <t>—</t>
        </is>
      </c>
      <c r="I10" s="7" t="inlineStr">
        <is>
          <t>—</t>
        </is>
      </c>
      <c r="J10" s="7" t="inlineStr">
        <is>
          <t>wu.ge30; wu.onsets</t>
        </is>
      </c>
    </row>
    <row r="11">
      <c r="A11" s="7" t="inlineStr">
        <is>
          <t>Serving warning (test)</t>
        </is>
      </c>
      <c r="B11" s="7" t="inlineStr">
        <is>
          <t>Warned ≥ 60 min ahead, share of ALL onsets</t>
        </is>
      </c>
      <c r="C11" s="17">
        <f>IF(AND(ISNUMBER(Sources!$C$127),ISNUMBER(Sources!$C$123)),Sources!$C$127/Sources!$C$123,"unavailable")</f>
        <v/>
      </c>
      <c r="D11" s="7" t="inlineStr">
        <is>
          <t>share</t>
        </is>
      </c>
      <c r="E11" s="16">
        <f>IF(AND(ISNUMBER(Sources!$C$127)),Sources!$C$127,"unavailable")</f>
        <v/>
      </c>
      <c r="F11" s="16">
        <f>IF(AND(ISNUMBER(Sources!$C$123)),Sources!$C$123,"unavailable")</f>
        <v/>
      </c>
      <c r="G11" s="7" t="inlineStr">
        <is>
          <t>All onsets</t>
        </is>
      </c>
      <c r="H11" s="7" t="inlineStr">
        <is>
          <t>—</t>
        </is>
      </c>
      <c r="I11" s="7" t="inlineStr">
        <is>
          <t>—</t>
        </is>
      </c>
      <c r="J11" s="7" t="inlineStr">
        <is>
          <t>wu.ge60; wu.onsets</t>
        </is>
      </c>
    </row>
    <row r="12">
      <c r="A12" s="7" t="inlineStr">
        <is>
          <t>Serving warning (test)</t>
        </is>
      </c>
      <c r="B12" s="7" t="inlineStr">
        <is>
          <t>Median qualified lead (DETECTED onsets only)</t>
        </is>
      </c>
      <c r="C12" s="12">
        <f>IF(AND(ISNUMBER(Sources!$C$70)),Sources!$C$70,"unavailable")</f>
        <v/>
      </c>
      <c r="D12" s="7" t="inlineStr">
        <is>
          <t>min</t>
        </is>
      </c>
      <c r="E12" s="16" t="inlineStr">
        <is>
          <t>—</t>
        </is>
      </c>
      <c r="F12" s="16">
        <f>IF(AND(ISNUMBER(Sources!$C$71)),Sources!$C$71,"unavailable")</f>
        <v/>
      </c>
      <c r="G12" s="7" t="inlineStr">
        <is>
          <t>Denominator = detected onsets with a qualified lead; not comparable to the all-onset shares</t>
        </is>
      </c>
      <c r="H12" s="8">
        <f>IF(AND(ISNUMBER(Sources!$C$131)),Sources!$C$131,"unavailable")</f>
        <v/>
      </c>
      <c r="I12" s="7">
        <f>IF(AND(ISNUMBER(C12),ISNUMBER(H12)),IF(ABS(C12-H12)&lt;1E-9*MAX(1,ABS(H12)),"agrees","DIFFERS"),"n/a")</f>
        <v/>
      </c>
      <c r="J12" s="7" t="inlineStr">
        <is>
          <t>fus.ev.qualified_lead_median; fus.ev.qualified_lead_n; wu.lead_median</t>
        </is>
      </c>
    </row>
    <row r="13">
      <c r="A13" s="7" t="inlineStr">
        <is>
          <t>Serving warning (test)</t>
        </is>
      </c>
      <c r="B13" s="7" t="inlineStr">
        <is>
          <t>Qualified lead IQR low (detected onsets)</t>
        </is>
      </c>
      <c r="C13" s="12">
        <f>IF(AND(ISNUMBER(Sources!$C$74)),Sources!$C$74,"unavailable")</f>
        <v/>
      </c>
      <c r="D13" s="7" t="inlineStr">
        <is>
          <t>min</t>
        </is>
      </c>
      <c r="E13" s="16" t="inlineStr">
        <is>
          <t>—</t>
        </is>
      </c>
      <c r="F13" s="16" t="inlineStr">
        <is>
          <t>—</t>
        </is>
      </c>
      <c r="G13" s="7" t="inlineStr"/>
      <c r="H13" s="8">
        <f>IF(AND(ISNUMBER(Sources!$C$133)),Sources!$C$133,"unavailable")</f>
        <v/>
      </c>
      <c r="I13" s="7">
        <f>IF(AND(ISNUMBER(C13),ISNUMBER(H13)),IF(ABS(C13-H13)&lt;1E-9*MAX(1,ABS(H13)),"agrees","DIFFERS"),"n/a")</f>
        <v/>
      </c>
      <c r="J13" s="7" t="inlineStr">
        <is>
          <t>fus.ev.iqr_lo; wu.lead_q25</t>
        </is>
      </c>
    </row>
    <row r="14">
      <c r="A14" s="7" t="inlineStr">
        <is>
          <t>Serving warning (test)</t>
        </is>
      </c>
      <c r="B14" s="7" t="inlineStr">
        <is>
          <t>Qualified lead IQR high (detected onsets)</t>
        </is>
      </c>
      <c r="C14" s="12">
        <f>IF(AND(ISNUMBER(Sources!$C$75)),Sources!$C$75,"unavailable")</f>
        <v/>
      </c>
      <c r="D14" s="7" t="inlineStr">
        <is>
          <t>min</t>
        </is>
      </c>
      <c r="E14" s="16" t="inlineStr">
        <is>
          <t>—</t>
        </is>
      </c>
      <c r="F14" s="16" t="inlineStr">
        <is>
          <t>—</t>
        </is>
      </c>
      <c r="G14" s="7" t="inlineStr"/>
      <c r="H14" s="8">
        <f>IF(AND(ISNUMBER(Sources!$C$134)),Sources!$C$134,"unavailable")</f>
        <v/>
      </c>
      <c r="I14" s="7">
        <f>IF(AND(ISNUMBER(C14),ISNUMBER(H14)),IF(ABS(C14-H14)&lt;1E-9*MAX(1,ABS(H14)),"agrees","DIFFERS"),"n/a")</f>
        <v/>
      </c>
      <c r="J14" s="7" t="inlineStr">
        <is>
          <t>fus.ev.iqr_hi; wu.lead_q75</t>
        </is>
      </c>
    </row>
    <row r="15">
      <c r="A15" s="7" t="inlineStr">
        <is>
          <t>Serving warning (test)</t>
        </is>
      </c>
      <c r="B15" s="7" t="inlineStr">
        <is>
          <t>False-alarm episodes</t>
        </is>
      </c>
      <c r="C15" s="15">
        <f>IF(AND(ISNUMBER(Sources!$C$64)),Sources!$C$64,"unavailable")</f>
        <v/>
      </c>
      <c r="D15" s="7" t="inlineStr">
        <is>
          <t>episodes</t>
        </is>
      </c>
      <c r="E15" s="16" t="inlineStr">
        <is>
          <t>—</t>
        </is>
      </c>
      <c r="F15" s="16" t="inlineStr">
        <is>
          <t>—</t>
        </is>
      </c>
      <c r="G15" s="7" t="inlineStr"/>
      <c r="H15" s="7" t="inlineStr">
        <is>
          <t>—</t>
        </is>
      </c>
      <c r="I15" s="7" t="inlineStr">
        <is>
          <t>—</t>
        </is>
      </c>
      <c r="J15" s="7" t="inlineStr">
        <is>
          <t>fus.ev.false_alarm_episodes</t>
        </is>
      </c>
    </row>
    <row r="16">
      <c r="A16" s="7" t="inlineStr">
        <is>
          <t>Serving warning (test)</t>
        </is>
      </c>
      <c r="B16" s="7" t="inlineStr">
        <is>
          <t>Warning episodes</t>
        </is>
      </c>
      <c r="C16" s="15">
        <f>IF(AND(ISNUMBER(Sources!$C$63)),Sources!$C$63,"unavailable")</f>
        <v/>
      </c>
      <c r="D16" s="7" t="inlineStr">
        <is>
          <t>episodes</t>
        </is>
      </c>
      <c r="E16" s="16" t="inlineStr">
        <is>
          <t>—</t>
        </is>
      </c>
      <c r="F16" s="16" t="inlineStr">
        <is>
          <t>—</t>
        </is>
      </c>
      <c r="G16" s="7" t="inlineStr"/>
      <c r="H16" s="7" t="inlineStr">
        <is>
          <t>—</t>
        </is>
      </c>
      <c r="I16" s="7" t="inlineStr">
        <is>
          <t>—</t>
        </is>
      </c>
      <c r="J16" s="7" t="inlineStr">
        <is>
          <t>fus.ev.warning_episodes</t>
        </is>
      </c>
    </row>
    <row r="17">
      <c r="A17" s="7" t="inlineStr">
        <is>
          <t>Serving warning (test)</t>
        </is>
      </c>
      <c r="B17" s="7" t="inlineStr">
        <is>
          <t>Precision (true episodes / episodes)</t>
        </is>
      </c>
      <c r="C17" s="12">
        <f>IF(AND(ISNUMBER(Sources!$C$63),ISNUMBER(Sources!$C$64)),(Sources!$C$63-Sources!$C$64)/Sources!$C$63,"unavailable")</f>
        <v/>
      </c>
      <c r="D17" s="7" t="inlineStr">
        <is>
          <t>ratio</t>
        </is>
      </c>
      <c r="E17" s="16" t="inlineStr">
        <is>
          <t>—</t>
        </is>
      </c>
      <c r="F17" s="16">
        <f>IF(AND(ISNUMBER(Sources!$C$63)),Sources!$C$63,"unavailable")</f>
        <v/>
      </c>
      <c r="G17" s="7" t="inlineStr"/>
      <c r="H17" s="8">
        <f>IF(AND(ISNUMBER(Sources!$C$65)),Sources!$C$65,"unavailable")</f>
        <v/>
      </c>
      <c r="I17" s="7">
        <f>IF(AND(ISNUMBER(C17),ISNUMBER(H17)),IF(ABS(C17-H17)&lt;1E-9*MAX(1,ABS(H17)),"agrees","DIFFERS"),"n/a")</f>
        <v/>
      </c>
      <c r="J17" s="7" t="inlineStr">
        <is>
          <t>fus.ev.warning_episodes; fus.ev.false_alarm_episodes; fus.ev.precision</t>
        </is>
      </c>
    </row>
    <row r="18">
      <c r="A18" s="7" t="inlineStr">
        <is>
          <t>Serving warning (test)</t>
        </is>
      </c>
      <c r="B18" s="7" t="inlineStr">
        <is>
          <t>False alarms per OBSERVED patient-day</t>
        </is>
      </c>
      <c r="C18" s="12">
        <f>IF(AND(ISNUMBER(Sources!$C$64),ISNUMBER(Sources!$C$67)),Sources!$C$64/Sources!$C$67,"unavailable")</f>
        <v/>
      </c>
      <c r="D18" s="7" t="inlineStr">
        <is>
          <t>per day</t>
        </is>
      </c>
      <c r="E18" s="16">
        <f>IF(AND(ISNUMBER(Sources!$C$64)),Sources!$C$64,"unavailable")</f>
        <v/>
      </c>
      <c r="F18" s="16">
        <f>IF(AND(ISNUMBER(Sources!$C$67)),Sources!$C$67,"unavailable")</f>
        <v/>
      </c>
      <c r="G18" s="7" t="inlineStr">
        <is>
          <t>Observed patient-days from saved event metadata (time base: issued origins × 5 min)</t>
        </is>
      </c>
      <c r="H18" s="8">
        <f>IF(AND(ISNUMBER(Sources!$C$66)),Sources!$C$66,"unavailable")</f>
        <v/>
      </c>
      <c r="I18" s="7">
        <f>IF(AND(ISNUMBER(C18),ISNUMBER(H18)),IF(ABS(C18-H18)&lt;1E-9*MAX(1,ABS(H18)),"agrees","DIFFERS"),"n/a")</f>
        <v/>
      </c>
      <c r="J18" s="7" t="inlineStr">
        <is>
          <t>fus.ev.false_alarm_episodes; fus.ev.observed_patient_days; fus.ev.false_alarms_per_observed_patient_day</t>
        </is>
      </c>
    </row>
    <row r="19">
      <c r="A19" s="7" t="inlineStr">
        <is>
          <t>Serving warning (test)</t>
        </is>
      </c>
      <c r="B19" s="7" t="inlineStr">
        <is>
          <t>False alarms per ELIGIBLE patient-day</t>
        </is>
      </c>
      <c r="C19" s="12">
        <f>IF(AND(ISNUMBER(Sources!$C$64),ISNUMBER(Sources!$C$68)),Sources!$C$64/Sources!$C$68,"unavailable")</f>
        <v/>
      </c>
      <c r="D19" s="7" t="inlineStr">
        <is>
          <t>per day</t>
        </is>
      </c>
      <c r="E19" s="16">
        <f>IF(AND(ISNUMBER(Sources!$C$64)),Sources!$C$64,"unavailable")</f>
        <v/>
      </c>
      <c r="F19" s="16">
        <f>IF(AND(ISNUMBER(Sources!$C$68)),Sources!$C$68,"unavailable")</f>
        <v/>
      </c>
      <c r="G19" s="7" t="inlineStr">
        <is>
          <t>Eligible patient-days (below-threshold origins) — a different, smaller base</t>
        </is>
      </c>
      <c r="H19" s="8">
        <f>IF(AND(ISNUMBER(Sources!$C$69)),Sources!$C$69,"unavailable")</f>
        <v/>
      </c>
      <c r="I19" s="7">
        <f>IF(AND(ISNUMBER(C19),ISNUMBER(H19)),IF(ABS(C19-H19)&lt;1E-9*MAX(1,ABS(H19)),"agrees","DIFFERS"),"n/a")</f>
        <v/>
      </c>
      <c r="J19" s="7" t="inlineStr">
        <is>
          <t>fus.ev.false_alarm_episodes; fus.ev.eligible_patient_days; fus.ev.false_alarms_per_patient_day</t>
        </is>
      </c>
    </row>
    <row r="20">
      <c r="A20" s="7" t="inlineStr">
        <is>
          <t>Serving warning (test)</t>
        </is>
      </c>
      <c r="B20" s="7" t="inlineStr">
        <is>
          <t>Time in warning (share of eligible origins)</t>
        </is>
      </c>
      <c r="C20" s="17">
        <f>IF(AND(ISNUMBER(Sources!$C$128),ISNUMBER(Sources!$C$129)),Sources!$C$128/Sources!$C$129,"unavailable")</f>
        <v/>
      </c>
      <c r="D20" s="7" t="inlineStr">
        <is>
          <t>share</t>
        </is>
      </c>
      <c r="E20" s="16">
        <f>IF(AND(ISNUMBER(Sources!$C$128)),Sources!$C$128,"unavailable")</f>
        <v/>
      </c>
      <c r="F20" s="16">
        <f>IF(AND(ISNUMBER(Sources!$C$129)),Sources!$C$129,"unavailable")</f>
        <v/>
      </c>
      <c r="G20" s="7" t="inlineStr">
        <is>
          <t>Post-hoc diagnostic</t>
        </is>
      </c>
      <c r="H20" s="8">
        <f>IF(AND(ISNUMBER(Sources!$C$130)),Sources!$C$130,"unavailable")</f>
        <v/>
      </c>
      <c r="I20" s="7">
        <f>IF(AND(ISNUMBER(C20),ISNUMBER(H20)),IF(ABS(C20-H20)&lt;1E-9*MAX(1,ABS(H20)),"agrees","DIFFERS"),"n/a")</f>
        <v/>
      </c>
      <c r="J20" s="7" t="inlineStr">
        <is>
          <t>wu.firing; wu.eligible; wu.share_eligible</t>
        </is>
      </c>
    </row>
    <row r="21">
      <c r="A21" s="7" t="inlineStr">
        <is>
          <t>Serving warning (test)</t>
        </is>
      </c>
      <c r="B21" s="7" t="inlineStr">
        <is>
          <t>Warning margin (score = max forecast − 180)</t>
        </is>
      </c>
      <c r="C21" s="12">
        <f>IF(AND(ISNUMBER(Sources!$C$72)),Sources!$C$72,"unavailable")</f>
        <v/>
      </c>
      <c r="D21" s="7" t="inlineStr">
        <is>
          <t>mg/dL</t>
        </is>
      </c>
      <c r="E21" s="16" t="inlineStr">
        <is>
          <t>—</t>
        </is>
      </c>
      <c r="F21" s="16" t="inlineStr">
        <is>
          <t>—</t>
        </is>
      </c>
      <c r="G21" s="7" t="inlineStr">
        <is>
          <t>Chosen on validation by event F1</t>
        </is>
      </c>
      <c r="H21" s="7" t="inlineStr">
        <is>
          <t>—</t>
        </is>
      </c>
      <c r="I21" s="7" t="inlineStr">
        <is>
          <t>—</t>
        </is>
      </c>
      <c r="J21" s="7" t="inlineStr">
        <is>
          <t>fus.ev.threshold</t>
        </is>
      </c>
    </row>
    <row r="22">
      <c r="A22" s="7" t="inlineStr">
        <is>
          <t>Persistence warning (test)</t>
        </is>
      </c>
      <c r="B22" s="7" t="inlineStr">
        <is>
          <t>False alarms per observed patient-day</t>
        </is>
      </c>
      <c r="C22" s="12">
        <f>IF(AND(ISNUMBER(Sources!$C$78)),Sources!$C$78,"unavailable")</f>
        <v/>
      </c>
      <c r="D22" s="7" t="inlineStr">
        <is>
          <t>per day</t>
        </is>
      </c>
      <c r="E22" s="16" t="inlineStr">
        <is>
          <t>—</t>
        </is>
      </c>
      <c r="F22" s="16" t="inlineStr">
        <is>
          <t>—</t>
        </is>
      </c>
      <c r="G22" s="7" t="inlineStr">
        <is>
          <t>Fires at 150 mg/dL</t>
        </is>
      </c>
      <c r="H22" s="7" t="inlineStr">
        <is>
          <t>—</t>
        </is>
      </c>
      <c r="I22" s="7" t="inlineStr">
        <is>
          <t>—</t>
        </is>
      </c>
      <c r="J22" s="7" t="inlineStr">
        <is>
          <t>fus.pev.false_alarms_per_observed_patient_day</t>
        </is>
      </c>
    </row>
    <row r="23">
      <c r="A23" s="7" t="inlineStr">
        <is>
          <t>Serving ranges (test)</t>
        </is>
      </c>
      <c r="B23" s="7" t="inlineStr">
        <is>
          <t>80 % range coverage, 30 min</t>
        </is>
      </c>
      <c r="C23" s="17">
        <f>IF(AND(ISNUMBER(Sources!$C$79)),Sources!$C$79,"unavailable")</f>
        <v/>
      </c>
      <c r="D23" s="7" t="inlineStr">
        <is>
          <t>share</t>
        </is>
      </c>
      <c r="E23" s="16" t="inlineStr">
        <is>
          <t>—</t>
        </is>
      </c>
      <c r="F23" s="16">
        <f>IF(AND(ISNUMBER(Sources!$C$84)),Sources!$C$84,"unavailable")</f>
        <v/>
      </c>
      <c r="G23" s="7" t="inlineStr">
        <is>
          <t>Pooled over forecasts</t>
        </is>
      </c>
      <c r="H23" s="7" t="inlineStr">
        <is>
          <t>—</t>
        </is>
      </c>
      <c r="I23" s="7" t="inlineStr">
        <is>
          <t>—</t>
        </is>
      </c>
      <c r="J23" s="7" t="inlineStr">
        <is>
          <t>fus.iv.coverage30; fus.iv.n30</t>
        </is>
      </c>
    </row>
    <row r="24">
      <c r="A24" s="7" t="inlineStr">
        <is>
          <t>Serving ranges (test)</t>
        </is>
      </c>
      <c r="B24" s="7" t="inlineStr">
        <is>
          <t>80 % range coverage, 60 min</t>
        </is>
      </c>
      <c r="C24" s="17">
        <f>IF(AND(ISNUMBER(Sources!$C$85)),Sources!$C$85,"unavailable")</f>
        <v/>
      </c>
      <c r="D24" s="7" t="inlineStr">
        <is>
          <t>share</t>
        </is>
      </c>
      <c r="E24" s="16" t="inlineStr">
        <is>
          <t>—</t>
        </is>
      </c>
      <c r="F24" s="16">
        <f>IF(AND(ISNUMBER(Sources!$C$90)),Sources!$C$90,"unavailable")</f>
        <v/>
      </c>
      <c r="G24" s="7" t="inlineStr">
        <is>
          <t>Pooled over forecasts</t>
        </is>
      </c>
      <c r="H24" s="7" t="inlineStr">
        <is>
          <t>—</t>
        </is>
      </c>
      <c r="I24" s="7" t="inlineStr">
        <is>
          <t>—</t>
        </is>
      </c>
      <c r="J24" s="7" t="inlineStr">
        <is>
          <t>fus.iv.coverage60; fus.iv.n60</t>
        </is>
      </c>
    </row>
    <row r="25">
      <c r="A25" s="7" t="inlineStr">
        <is>
          <t>Serving ranges (test)</t>
        </is>
      </c>
      <c r="B25" s="7" t="inlineStr">
        <is>
          <t>Coverage gap vs target, 30 min (points)</t>
        </is>
      </c>
      <c r="C25" s="12">
        <f>IF(AND(ISNUMBER(Sources!$C$79),ISNUMBER(Sources!$C$493)),(Sources!$C$79-Sources!$C$493)*100,"unavailable")</f>
        <v/>
      </c>
      <c r="D25" s="7" t="inlineStr">
        <is>
          <t>points</t>
        </is>
      </c>
      <c r="E25" s="16" t="inlineStr">
        <is>
          <t>—</t>
        </is>
      </c>
      <c r="F25" s="16" t="inlineStr">
        <is>
          <t>—</t>
        </is>
      </c>
      <c r="G25" s="7" t="inlineStr">
        <is>
          <t>Negative = under-coverage</t>
        </is>
      </c>
      <c r="H25" s="7" t="inlineStr">
        <is>
          <t>—</t>
        </is>
      </c>
      <c r="I25" s="7" t="inlineStr">
        <is>
          <t>—</t>
        </is>
      </c>
      <c r="J25" s="7" t="inlineStr">
        <is>
          <t>fus.iv.coverage30; const.target_cov</t>
        </is>
      </c>
    </row>
    <row r="26">
      <c r="A26" s="7" t="inlineStr">
        <is>
          <t>Serving ranges (test)</t>
        </is>
      </c>
      <c r="B26" s="7" t="inlineStr">
        <is>
          <t>Coverage gap vs target, 60 min (points)</t>
        </is>
      </c>
      <c r="C26" s="12">
        <f>IF(AND(ISNUMBER(Sources!$C$85),ISNUMBER(Sources!$C$493)),(Sources!$C$85-Sources!$C$493)*100,"unavailable")</f>
        <v/>
      </c>
      <c r="D26" s="7" t="inlineStr">
        <is>
          <t>points</t>
        </is>
      </c>
      <c r="E26" s="16" t="inlineStr">
        <is>
          <t>—</t>
        </is>
      </c>
      <c r="F26" s="16" t="inlineStr">
        <is>
          <t>—</t>
        </is>
      </c>
      <c r="G26" s="7" t="inlineStr">
        <is>
          <t>Negative = under-coverage</t>
        </is>
      </c>
      <c r="H26" s="7" t="inlineStr">
        <is>
          <t>—</t>
        </is>
      </c>
      <c r="I26" s="7" t="inlineStr">
        <is>
          <t>—</t>
        </is>
      </c>
      <c r="J26" s="7" t="inlineStr">
        <is>
          <t>fus.iv.coverage60; const.target_cov</t>
        </is>
      </c>
    </row>
    <row r="27">
      <c r="A27" s="7" t="inlineStr">
        <is>
          <t>Serving ranges (test)</t>
        </is>
      </c>
      <c r="B27" s="7" t="inlineStr">
        <is>
          <t>Per-person coverage min, 30 min</t>
        </is>
      </c>
      <c r="C27" s="17">
        <f>IF(AND(ISNUMBER(Sources!$C$82)),Sources!$C$82,"unavailable")</f>
        <v/>
      </c>
      <c r="D27" s="7" t="inlineStr">
        <is>
          <t>share</t>
        </is>
      </c>
      <c r="E27" s="16" t="inlineStr">
        <is>
          <t>—</t>
        </is>
      </c>
      <c r="F27" s="16" t="inlineStr">
        <is>
          <t>—</t>
        </is>
      </c>
      <c r="G27" s="7" t="inlineStr">
        <is>
          <t>Weakest participant</t>
        </is>
      </c>
      <c r="H27" s="7" t="inlineStr">
        <is>
          <t>—</t>
        </is>
      </c>
      <c r="I27" s="7" t="inlineStr">
        <is>
          <t>—</t>
        </is>
      </c>
      <c r="J27" s="7" t="inlineStr">
        <is>
          <t>fus.iv.per_patient_min30</t>
        </is>
      </c>
    </row>
    <row r="28">
      <c r="A28" s="7" t="inlineStr">
        <is>
          <t>Serving ranges (test)</t>
        </is>
      </c>
      <c r="B28" s="7" t="inlineStr">
        <is>
          <t>Per-person coverage max, 30 min</t>
        </is>
      </c>
      <c r="C28" s="17">
        <f>IF(AND(ISNUMBER(Sources!$C$83)),Sources!$C$83,"unavailable")</f>
        <v/>
      </c>
      <c r="D28" s="7" t="inlineStr">
        <is>
          <t>share</t>
        </is>
      </c>
      <c r="E28" s="16" t="inlineStr">
        <is>
          <t>—</t>
        </is>
      </c>
      <c r="F28" s="16" t="inlineStr">
        <is>
          <t>—</t>
        </is>
      </c>
      <c r="G28" s="7" t="inlineStr"/>
      <c r="H28" s="7" t="inlineStr">
        <is>
          <t>—</t>
        </is>
      </c>
      <c r="I28" s="7" t="inlineStr">
        <is>
          <t>—</t>
        </is>
      </c>
      <c r="J28" s="7" t="inlineStr">
        <is>
          <t>fus.iv.per_patient_max30</t>
        </is>
      </c>
    </row>
    <row r="29">
      <c r="A29" s="7" t="inlineStr">
        <is>
          <t>Serving ranges (test)</t>
        </is>
      </c>
      <c r="B29" s="7" t="inlineStr">
        <is>
          <t>Per-person coverage min, 60 min</t>
        </is>
      </c>
      <c r="C29" s="17">
        <f>IF(AND(ISNUMBER(Sources!$C$88)),Sources!$C$88,"unavailable")</f>
        <v/>
      </c>
      <c r="D29" s="7" t="inlineStr">
        <is>
          <t>share</t>
        </is>
      </c>
      <c r="E29" s="16" t="inlineStr">
        <is>
          <t>—</t>
        </is>
      </c>
      <c r="F29" s="16" t="inlineStr">
        <is>
          <t>—</t>
        </is>
      </c>
      <c r="G29" s="7" t="inlineStr">
        <is>
          <t>Weakest participant</t>
        </is>
      </c>
      <c r="H29" s="7" t="inlineStr">
        <is>
          <t>—</t>
        </is>
      </c>
      <c r="I29" s="7" t="inlineStr">
        <is>
          <t>—</t>
        </is>
      </c>
      <c r="J29" s="7" t="inlineStr">
        <is>
          <t>fus.iv.per_patient_min60</t>
        </is>
      </c>
    </row>
    <row r="30">
      <c r="A30" s="7" t="inlineStr">
        <is>
          <t>Serving ranges (test)</t>
        </is>
      </c>
      <c r="B30" s="7" t="inlineStr">
        <is>
          <t>Per-person coverage max, 60 min</t>
        </is>
      </c>
      <c r="C30" s="17">
        <f>IF(AND(ISNUMBER(Sources!$C$89)),Sources!$C$89,"unavailable")</f>
        <v/>
      </c>
      <c r="D30" s="7" t="inlineStr">
        <is>
          <t>share</t>
        </is>
      </c>
      <c r="E30" s="16" t="inlineStr">
        <is>
          <t>—</t>
        </is>
      </c>
      <c r="F30" s="16" t="inlineStr">
        <is>
          <t>—</t>
        </is>
      </c>
      <c r="G30" s="7" t="inlineStr"/>
      <c r="H30" s="7" t="inlineStr">
        <is>
          <t>—</t>
        </is>
      </c>
      <c r="I30" s="7" t="inlineStr">
        <is>
          <t>—</t>
        </is>
      </c>
      <c r="J30" s="7" t="inlineStr">
        <is>
          <t>fus.iv.per_patient_max60</t>
        </is>
      </c>
    </row>
    <row r="31">
      <c r="A31" s="7" t="inlineStr">
        <is>
          <t>Serving ranges (test)</t>
        </is>
      </c>
      <c r="B31" s="7" t="inlineStr">
        <is>
          <t>Range width (full), 30 min</t>
        </is>
      </c>
      <c r="C31" s="12">
        <f>IF(AND(ISNUMBER(Sources!$C$80)),Sources!$C$80,"unavailable")</f>
        <v/>
      </c>
      <c r="D31" s="7" t="inlineStr">
        <is>
          <t>mg/dL</t>
        </is>
      </c>
      <c r="E31" s="16" t="inlineStr">
        <is>
          <t>—</t>
        </is>
      </c>
      <c r="F31" s="16" t="inlineStr">
        <is>
          <t>—</t>
        </is>
      </c>
      <c r="G31" s="7" t="inlineStr">
        <is>
          <t>Full width: 2 × half-width q</t>
        </is>
      </c>
      <c r="H31" s="7" t="inlineStr">
        <is>
          <t>—</t>
        </is>
      </c>
      <c r="I31" s="7" t="inlineStr">
        <is>
          <t>—</t>
        </is>
      </c>
      <c r="J31" s="7" t="inlineStr">
        <is>
          <t>fus.iv.width30</t>
        </is>
      </c>
    </row>
    <row r="32">
      <c r="A32" s="7" t="inlineStr">
        <is>
          <t>Serving ranges (test)</t>
        </is>
      </c>
      <c r="B32" s="7" t="inlineStr">
        <is>
          <t>Range width (full), 60 min</t>
        </is>
      </c>
      <c r="C32" s="12">
        <f>IF(AND(ISNUMBER(Sources!$C$86)),Sources!$C$86,"unavailable")</f>
        <v/>
      </c>
      <c r="D32" s="7" t="inlineStr">
        <is>
          <t>mg/dL</t>
        </is>
      </c>
      <c r="E32" s="16" t="inlineStr">
        <is>
          <t>—</t>
        </is>
      </c>
      <c r="F32" s="16" t="inlineStr">
        <is>
          <t>—</t>
        </is>
      </c>
      <c r="G32" s="7" t="inlineStr">
        <is>
          <t>Full width: 2 × half-width q</t>
        </is>
      </c>
      <c r="H32" s="7" t="inlineStr">
        <is>
          <t>—</t>
        </is>
      </c>
      <c r="I32" s="7" t="inlineStr">
        <is>
          <t>—</t>
        </is>
      </c>
      <c r="J32" s="7" t="inlineStr">
        <is>
          <t>fus.iv.width60</t>
        </is>
      </c>
    </row>
    <row r="33">
      <c r="A33" s="7" t="inlineStr">
        <is>
          <t>Trend context — VALIDATION</t>
        </is>
      </c>
      <c r="B33" s="7" t="inlineStr">
        <is>
          <t>falling_fast, 30 min: macro MAE</t>
        </is>
      </c>
      <c r="C33" s="12">
        <f>IF(AND(ISNUMBER(Sources!$C$138)),Sources!$C$138,"unavailable")</f>
        <v/>
      </c>
      <c r="D33" s="7" t="inlineStr">
        <is>
          <t>mg/dL</t>
        </is>
      </c>
      <c r="E33" s="16" t="inlineStr">
        <is>
          <t>—</t>
        </is>
      </c>
      <c r="F33" s="16">
        <f>IF(AND(ISNUMBER(Sources!$C$140)),Sources!$C$140,"unavailable")</f>
        <v/>
      </c>
      <c r="G33" s="7" t="inlineStr">
        <is>
          <t>Validation segment (selection data), not the test</t>
        </is>
      </c>
      <c r="H33" s="7" t="inlineStr">
        <is>
          <t>—</t>
        </is>
      </c>
      <c r="I33" s="7" t="inlineStr">
        <is>
          <t>—</t>
        </is>
      </c>
      <c r="J33" s="7" t="inlineStr">
        <is>
          <t>tr.falling_fast.mae30; tr.falling_fast.n30</t>
        </is>
      </c>
    </row>
    <row r="34">
      <c r="A34" s="7" t="inlineStr">
        <is>
          <t>Trend context — VALIDATION</t>
        </is>
      </c>
      <c r="B34" s="7" t="inlineStr">
        <is>
          <t>falling_fast, 30 min: served range coverage</t>
        </is>
      </c>
      <c r="C34" s="17">
        <f>IF(AND(ISNUMBER(Sources!$C$139)),Sources!$C$139,"unavailable")</f>
        <v/>
      </c>
      <c r="D34" s="7" t="inlineStr">
        <is>
          <t>share</t>
        </is>
      </c>
      <c r="E34" s="16" t="inlineStr">
        <is>
          <t>—</t>
        </is>
      </c>
      <c r="F34" s="16">
        <f>IF(AND(ISNUMBER(Sources!$C$140)),Sources!$C$140,"unavailable")</f>
        <v/>
      </c>
      <c r="G34" s="7" t="inlineStr">
        <is>
          <t>Validation segment</t>
        </is>
      </c>
      <c r="H34" s="7" t="inlineStr">
        <is>
          <t>—</t>
        </is>
      </c>
      <c r="I34" s="7" t="inlineStr">
        <is>
          <t>—</t>
        </is>
      </c>
      <c r="J34" s="7" t="inlineStr">
        <is>
          <t>tr.falling_fast.cov30; tr.falling_fast.n30</t>
        </is>
      </c>
    </row>
    <row r="35">
      <c r="A35" s="7" t="inlineStr">
        <is>
          <t>Trend context — VALIDATION</t>
        </is>
      </c>
      <c r="B35" s="7" t="inlineStr">
        <is>
          <t>falling_fast, 60 min: macro MAE</t>
        </is>
      </c>
      <c r="C35" s="12">
        <f>IF(AND(ISNUMBER(Sources!$C$157)),Sources!$C$157,"unavailable")</f>
        <v/>
      </c>
      <c r="D35" s="7" t="inlineStr">
        <is>
          <t>mg/dL</t>
        </is>
      </c>
      <c r="E35" s="16" t="inlineStr">
        <is>
          <t>—</t>
        </is>
      </c>
      <c r="F35" s="16">
        <f>IF(AND(ISNUMBER(Sources!$C$159)),Sources!$C$159,"unavailable")</f>
        <v/>
      </c>
      <c r="G35" s="7" t="inlineStr">
        <is>
          <t>Validation segment (selection data), not the test</t>
        </is>
      </c>
      <c r="H35" s="7" t="inlineStr">
        <is>
          <t>—</t>
        </is>
      </c>
      <c r="I35" s="7" t="inlineStr">
        <is>
          <t>—</t>
        </is>
      </c>
      <c r="J35" s="7" t="inlineStr">
        <is>
          <t>tr.falling_fast.mae60; tr.falling_fast.n60</t>
        </is>
      </c>
    </row>
    <row r="36">
      <c r="A36" s="7" t="inlineStr">
        <is>
          <t>Trend context — VALIDATION</t>
        </is>
      </c>
      <c r="B36" s="7" t="inlineStr">
        <is>
          <t>falling_fast, 60 min: served range coverage</t>
        </is>
      </c>
      <c r="C36" s="17">
        <f>IF(AND(ISNUMBER(Sources!$C$158)),Sources!$C$158,"unavailable")</f>
        <v/>
      </c>
      <c r="D36" s="7" t="inlineStr">
        <is>
          <t>share</t>
        </is>
      </c>
      <c r="E36" s="16" t="inlineStr">
        <is>
          <t>—</t>
        </is>
      </c>
      <c r="F36" s="16">
        <f>IF(AND(ISNUMBER(Sources!$C$159)),Sources!$C$159,"unavailable")</f>
        <v/>
      </c>
      <c r="G36" s="7" t="inlineStr">
        <is>
          <t>Validation segment</t>
        </is>
      </c>
      <c r="H36" s="7" t="inlineStr">
        <is>
          <t>—</t>
        </is>
      </c>
      <c r="I36" s="7" t="inlineStr">
        <is>
          <t>—</t>
        </is>
      </c>
      <c r="J36" s="7" t="inlineStr">
        <is>
          <t>tr.falling_fast.cov60; tr.falling_fast.n60</t>
        </is>
      </c>
    </row>
    <row r="37">
      <c r="A37" s="7" t="inlineStr">
        <is>
          <t>Trend context — VALIDATION</t>
        </is>
      </c>
      <c r="B37" s="7" t="inlineStr">
        <is>
          <t>falling, 30 min: macro MAE</t>
        </is>
      </c>
      <c r="C37" s="12">
        <f>IF(AND(ISNUMBER(Sources!$C$141)),Sources!$C$141,"unavailable")</f>
        <v/>
      </c>
      <c r="D37" s="7" t="inlineStr">
        <is>
          <t>mg/dL</t>
        </is>
      </c>
      <c r="E37" s="16" t="inlineStr">
        <is>
          <t>—</t>
        </is>
      </c>
      <c r="F37" s="16">
        <f>IF(AND(ISNUMBER(Sources!$C$143)),Sources!$C$143,"unavailable")</f>
        <v/>
      </c>
      <c r="G37" s="7" t="inlineStr">
        <is>
          <t>Validation segment (selection data), not the test</t>
        </is>
      </c>
      <c r="H37" s="7" t="inlineStr">
        <is>
          <t>—</t>
        </is>
      </c>
      <c r="I37" s="7" t="inlineStr">
        <is>
          <t>—</t>
        </is>
      </c>
      <c r="J37" s="7" t="inlineStr">
        <is>
          <t>tr.falling.mae30; tr.falling.n30</t>
        </is>
      </c>
    </row>
    <row r="38">
      <c r="A38" s="7" t="inlineStr">
        <is>
          <t>Trend context — VALIDATION</t>
        </is>
      </c>
      <c r="B38" s="7" t="inlineStr">
        <is>
          <t>falling, 30 min: served range coverage</t>
        </is>
      </c>
      <c r="C38" s="17">
        <f>IF(AND(ISNUMBER(Sources!$C$142)),Sources!$C$142,"unavailable")</f>
        <v/>
      </c>
      <c r="D38" s="7" t="inlineStr">
        <is>
          <t>share</t>
        </is>
      </c>
      <c r="E38" s="16" t="inlineStr">
        <is>
          <t>—</t>
        </is>
      </c>
      <c r="F38" s="16">
        <f>IF(AND(ISNUMBER(Sources!$C$143)),Sources!$C$143,"unavailable")</f>
        <v/>
      </c>
      <c r="G38" s="7" t="inlineStr">
        <is>
          <t>Validation segment</t>
        </is>
      </c>
      <c r="H38" s="7" t="inlineStr">
        <is>
          <t>—</t>
        </is>
      </c>
      <c r="I38" s="7" t="inlineStr">
        <is>
          <t>—</t>
        </is>
      </c>
      <c r="J38" s="7" t="inlineStr">
        <is>
          <t>tr.falling.cov30; tr.falling.n30</t>
        </is>
      </c>
    </row>
    <row r="39">
      <c r="A39" s="7" t="inlineStr">
        <is>
          <t>Trend context — VALIDATION</t>
        </is>
      </c>
      <c r="B39" s="7" t="inlineStr">
        <is>
          <t>falling, 60 min: macro MAE</t>
        </is>
      </c>
      <c r="C39" s="12">
        <f>IF(AND(ISNUMBER(Sources!$C$160)),Sources!$C$160,"unavailable")</f>
        <v/>
      </c>
      <c r="D39" s="7" t="inlineStr">
        <is>
          <t>mg/dL</t>
        </is>
      </c>
      <c r="E39" s="16" t="inlineStr">
        <is>
          <t>—</t>
        </is>
      </c>
      <c r="F39" s="16">
        <f>IF(AND(ISNUMBER(Sources!$C$162)),Sources!$C$162,"unavailable")</f>
        <v/>
      </c>
      <c r="G39" s="7" t="inlineStr">
        <is>
          <t>Validation segment (selection data), not the test</t>
        </is>
      </c>
      <c r="H39" s="7" t="inlineStr">
        <is>
          <t>—</t>
        </is>
      </c>
      <c r="I39" s="7" t="inlineStr">
        <is>
          <t>—</t>
        </is>
      </c>
      <c r="J39" s="7" t="inlineStr">
        <is>
          <t>tr.falling.mae60; tr.falling.n60</t>
        </is>
      </c>
    </row>
    <row r="40">
      <c r="A40" s="7" t="inlineStr">
        <is>
          <t>Trend context — VALIDATION</t>
        </is>
      </c>
      <c r="B40" s="7" t="inlineStr">
        <is>
          <t>falling, 60 min: served range coverage</t>
        </is>
      </c>
      <c r="C40" s="17">
        <f>IF(AND(ISNUMBER(Sources!$C$161)),Sources!$C$161,"unavailable")</f>
        <v/>
      </c>
      <c r="D40" s="7" t="inlineStr">
        <is>
          <t>share</t>
        </is>
      </c>
      <c r="E40" s="16" t="inlineStr">
        <is>
          <t>—</t>
        </is>
      </c>
      <c r="F40" s="16">
        <f>IF(AND(ISNUMBER(Sources!$C$162)),Sources!$C$162,"unavailable")</f>
        <v/>
      </c>
      <c r="G40" s="7" t="inlineStr">
        <is>
          <t>Validation segment</t>
        </is>
      </c>
      <c r="H40" s="7" t="inlineStr">
        <is>
          <t>—</t>
        </is>
      </c>
      <c r="I40" s="7" t="inlineStr">
        <is>
          <t>—</t>
        </is>
      </c>
      <c r="J40" s="7" t="inlineStr">
        <is>
          <t>tr.falling.cov60; tr.falling.n60</t>
        </is>
      </c>
    </row>
    <row r="41">
      <c r="A41" s="7" t="inlineStr">
        <is>
          <t>Trend context — VALIDATION</t>
        </is>
      </c>
      <c r="B41" s="7" t="inlineStr">
        <is>
          <t>steady, 30 min: macro MAE</t>
        </is>
      </c>
      <c r="C41" s="12">
        <f>IF(AND(ISNUMBER(Sources!$C$144)),Sources!$C$144,"unavailable")</f>
        <v/>
      </c>
      <c r="D41" s="7" t="inlineStr">
        <is>
          <t>mg/dL</t>
        </is>
      </c>
      <c r="E41" s="16" t="inlineStr">
        <is>
          <t>—</t>
        </is>
      </c>
      <c r="F41" s="16">
        <f>IF(AND(ISNUMBER(Sources!$C$146)),Sources!$C$146,"unavailable")</f>
        <v/>
      </c>
      <c r="G41" s="7" t="inlineStr">
        <is>
          <t>Validation segment (selection data), not the test</t>
        </is>
      </c>
      <c r="H41" s="7" t="inlineStr">
        <is>
          <t>—</t>
        </is>
      </c>
      <c r="I41" s="7" t="inlineStr">
        <is>
          <t>—</t>
        </is>
      </c>
      <c r="J41" s="7" t="inlineStr">
        <is>
          <t>tr.steady.mae30; tr.steady.n30</t>
        </is>
      </c>
    </row>
    <row r="42">
      <c r="A42" s="7" t="inlineStr">
        <is>
          <t>Trend context — VALIDATION</t>
        </is>
      </c>
      <c r="B42" s="7" t="inlineStr">
        <is>
          <t>steady, 30 min: served range coverage</t>
        </is>
      </c>
      <c r="C42" s="17">
        <f>IF(AND(ISNUMBER(Sources!$C$145)),Sources!$C$145,"unavailable")</f>
        <v/>
      </c>
      <c r="D42" s="7" t="inlineStr">
        <is>
          <t>share</t>
        </is>
      </c>
      <c r="E42" s="16" t="inlineStr">
        <is>
          <t>—</t>
        </is>
      </c>
      <c r="F42" s="16">
        <f>IF(AND(ISNUMBER(Sources!$C$146)),Sources!$C$146,"unavailable")</f>
        <v/>
      </c>
      <c r="G42" s="7" t="inlineStr">
        <is>
          <t>Validation segment</t>
        </is>
      </c>
      <c r="H42" s="7" t="inlineStr">
        <is>
          <t>—</t>
        </is>
      </c>
      <c r="I42" s="7" t="inlineStr">
        <is>
          <t>—</t>
        </is>
      </c>
      <c r="J42" s="7" t="inlineStr">
        <is>
          <t>tr.steady.cov30; tr.steady.n30</t>
        </is>
      </c>
    </row>
    <row r="43">
      <c r="A43" s="7" t="inlineStr">
        <is>
          <t>Trend context — VALIDATION</t>
        </is>
      </c>
      <c r="B43" s="7" t="inlineStr">
        <is>
          <t>steady, 60 min: macro MAE</t>
        </is>
      </c>
      <c r="C43" s="12">
        <f>IF(AND(ISNUMBER(Sources!$C$163)),Sources!$C$163,"unavailable")</f>
        <v/>
      </c>
      <c r="D43" s="7" t="inlineStr">
        <is>
          <t>mg/dL</t>
        </is>
      </c>
      <c r="E43" s="16" t="inlineStr">
        <is>
          <t>—</t>
        </is>
      </c>
      <c r="F43" s="16">
        <f>IF(AND(ISNUMBER(Sources!$C$165)),Sources!$C$165,"unavailable")</f>
        <v/>
      </c>
      <c r="G43" s="7" t="inlineStr">
        <is>
          <t>Validation segment (selection data), not the test</t>
        </is>
      </c>
      <c r="H43" s="7" t="inlineStr">
        <is>
          <t>—</t>
        </is>
      </c>
      <c r="I43" s="7" t="inlineStr">
        <is>
          <t>—</t>
        </is>
      </c>
      <c r="J43" s="7" t="inlineStr">
        <is>
          <t>tr.steady.mae60; tr.steady.n60</t>
        </is>
      </c>
    </row>
    <row r="44">
      <c r="A44" s="7" t="inlineStr">
        <is>
          <t>Trend context — VALIDATION</t>
        </is>
      </c>
      <c r="B44" s="7" t="inlineStr">
        <is>
          <t>steady, 60 min: served range coverage</t>
        </is>
      </c>
      <c r="C44" s="17">
        <f>IF(AND(ISNUMBER(Sources!$C$164)),Sources!$C$164,"unavailable")</f>
        <v/>
      </c>
      <c r="D44" s="7" t="inlineStr">
        <is>
          <t>share</t>
        </is>
      </c>
      <c r="E44" s="16" t="inlineStr">
        <is>
          <t>—</t>
        </is>
      </c>
      <c r="F44" s="16">
        <f>IF(AND(ISNUMBER(Sources!$C$165)),Sources!$C$165,"unavailable")</f>
        <v/>
      </c>
      <c r="G44" s="7" t="inlineStr">
        <is>
          <t>Validation segment</t>
        </is>
      </c>
      <c r="H44" s="7" t="inlineStr">
        <is>
          <t>—</t>
        </is>
      </c>
      <c r="I44" s="7" t="inlineStr">
        <is>
          <t>—</t>
        </is>
      </c>
      <c r="J44" s="7" t="inlineStr">
        <is>
          <t>tr.steady.cov60; tr.steady.n60</t>
        </is>
      </c>
    </row>
    <row r="45">
      <c r="A45" s="7" t="inlineStr">
        <is>
          <t>Trend context — VALIDATION</t>
        </is>
      </c>
      <c r="B45" s="7" t="inlineStr">
        <is>
          <t>rising, 30 min: macro MAE</t>
        </is>
      </c>
      <c r="C45" s="12">
        <f>IF(AND(ISNUMBER(Sources!$C$147)),Sources!$C$147,"unavailable")</f>
        <v/>
      </c>
      <c r="D45" s="7" t="inlineStr">
        <is>
          <t>mg/dL</t>
        </is>
      </c>
      <c r="E45" s="16" t="inlineStr">
        <is>
          <t>—</t>
        </is>
      </c>
      <c r="F45" s="16">
        <f>IF(AND(ISNUMBER(Sources!$C$149)),Sources!$C$149,"unavailable")</f>
        <v/>
      </c>
      <c r="G45" s="7" t="inlineStr">
        <is>
          <t>Validation segment (selection data), not the test</t>
        </is>
      </c>
      <c r="H45" s="7" t="inlineStr">
        <is>
          <t>—</t>
        </is>
      </c>
      <c r="I45" s="7" t="inlineStr">
        <is>
          <t>—</t>
        </is>
      </c>
      <c r="J45" s="7" t="inlineStr">
        <is>
          <t>tr.rising.mae30; tr.rising.n30</t>
        </is>
      </c>
    </row>
    <row r="46">
      <c r="A46" s="7" t="inlineStr">
        <is>
          <t>Trend context — VALIDATION</t>
        </is>
      </c>
      <c r="B46" s="7" t="inlineStr">
        <is>
          <t>rising, 30 min: served range coverage</t>
        </is>
      </c>
      <c r="C46" s="17">
        <f>IF(AND(ISNUMBER(Sources!$C$148)),Sources!$C$148,"unavailable")</f>
        <v/>
      </c>
      <c r="D46" s="7" t="inlineStr">
        <is>
          <t>share</t>
        </is>
      </c>
      <c r="E46" s="16" t="inlineStr">
        <is>
          <t>—</t>
        </is>
      </c>
      <c r="F46" s="16">
        <f>IF(AND(ISNUMBER(Sources!$C$149)),Sources!$C$149,"unavailable")</f>
        <v/>
      </c>
      <c r="G46" s="7" t="inlineStr">
        <is>
          <t>Validation segment</t>
        </is>
      </c>
      <c r="H46" s="7" t="inlineStr">
        <is>
          <t>—</t>
        </is>
      </c>
      <c r="I46" s="7" t="inlineStr">
        <is>
          <t>—</t>
        </is>
      </c>
      <c r="J46" s="7" t="inlineStr">
        <is>
          <t>tr.rising.cov30; tr.rising.n30</t>
        </is>
      </c>
    </row>
    <row r="47">
      <c r="A47" s="7" t="inlineStr">
        <is>
          <t>Trend context — VALIDATION</t>
        </is>
      </c>
      <c r="B47" s="7" t="inlineStr">
        <is>
          <t>rising, 60 min: macro MAE</t>
        </is>
      </c>
      <c r="C47" s="12">
        <f>IF(AND(ISNUMBER(Sources!$C$166)),Sources!$C$166,"unavailable")</f>
        <v/>
      </c>
      <c r="D47" s="7" t="inlineStr">
        <is>
          <t>mg/dL</t>
        </is>
      </c>
      <c r="E47" s="16" t="inlineStr">
        <is>
          <t>—</t>
        </is>
      </c>
      <c r="F47" s="16">
        <f>IF(AND(ISNUMBER(Sources!$C$168)),Sources!$C$168,"unavailable")</f>
        <v/>
      </c>
      <c r="G47" s="7" t="inlineStr">
        <is>
          <t>Validation segment (selection data), not the test</t>
        </is>
      </c>
      <c r="H47" s="7" t="inlineStr">
        <is>
          <t>—</t>
        </is>
      </c>
      <c r="I47" s="7" t="inlineStr">
        <is>
          <t>—</t>
        </is>
      </c>
      <c r="J47" s="7" t="inlineStr">
        <is>
          <t>tr.rising.mae60; tr.rising.n60</t>
        </is>
      </c>
    </row>
    <row r="48">
      <c r="A48" s="7" t="inlineStr">
        <is>
          <t>Trend context — VALIDATION</t>
        </is>
      </c>
      <c r="B48" s="7" t="inlineStr">
        <is>
          <t>rising, 60 min: served range coverage</t>
        </is>
      </c>
      <c r="C48" s="17">
        <f>IF(AND(ISNUMBER(Sources!$C$167)),Sources!$C$167,"unavailable")</f>
        <v/>
      </c>
      <c r="D48" s="7" t="inlineStr">
        <is>
          <t>share</t>
        </is>
      </c>
      <c r="E48" s="16" t="inlineStr">
        <is>
          <t>—</t>
        </is>
      </c>
      <c r="F48" s="16">
        <f>IF(AND(ISNUMBER(Sources!$C$168)),Sources!$C$168,"unavailable")</f>
        <v/>
      </c>
      <c r="G48" s="7" t="inlineStr">
        <is>
          <t>Validation segment</t>
        </is>
      </c>
      <c r="H48" s="7" t="inlineStr">
        <is>
          <t>—</t>
        </is>
      </c>
      <c r="I48" s="7" t="inlineStr">
        <is>
          <t>—</t>
        </is>
      </c>
      <c r="J48" s="7" t="inlineStr">
        <is>
          <t>tr.rising.cov60; tr.rising.n60</t>
        </is>
      </c>
    </row>
    <row r="49">
      <c r="A49" s="7" t="inlineStr">
        <is>
          <t>Trend context — VALIDATION</t>
        </is>
      </c>
      <c r="B49" s="7" t="inlineStr">
        <is>
          <t>rising_fast, 30 min: macro MAE</t>
        </is>
      </c>
      <c r="C49" s="12">
        <f>IF(AND(ISNUMBER(Sources!$C$150)),Sources!$C$150,"unavailable")</f>
        <v/>
      </c>
      <c r="D49" s="7" t="inlineStr">
        <is>
          <t>mg/dL</t>
        </is>
      </c>
      <c r="E49" s="16" t="inlineStr">
        <is>
          <t>—</t>
        </is>
      </c>
      <c r="F49" s="16">
        <f>IF(AND(ISNUMBER(Sources!$C$152)),Sources!$C$152,"unavailable")</f>
        <v/>
      </c>
      <c r="G49" s="7" t="inlineStr">
        <is>
          <t>Validation segment (selection data), not the test</t>
        </is>
      </c>
      <c r="H49" s="7" t="inlineStr">
        <is>
          <t>—</t>
        </is>
      </c>
      <c r="I49" s="7" t="inlineStr">
        <is>
          <t>—</t>
        </is>
      </c>
      <c r="J49" s="7" t="inlineStr">
        <is>
          <t>tr.rising_fast.mae30; tr.rising_fast.n30</t>
        </is>
      </c>
    </row>
    <row r="50">
      <c r="A50" s="7" t="inlineStr">
        <is>
          <t>Trend context — VALIDATION</t>
        </is>
      </c>
      <c r="B50" s="7" t="inlineStr">
        <is>
          <t>rising_fast, 30 min: served range coverage</t>
        </is>
      </c>
      <c r="C50" s="17">
        <f>IF(AND(ISNUMBER(Sources!$C$151)),Sources!$C$151,"unavailable")</f>
        <v/>
      </c>
      <c r="D50" s="7" t="inlineStr">
        <is>
          <t>share</t>
        </is>
      </c>
      <c r="E50" s="16" t="inlineStr">
        <is>
          <t>—</t>
        </is>
      </c>
      <c r="F50" s="16">
        <f>IF(AND(ISNUMBER(Sources!$C$152)),Sources!$C$152,"unavailable")</f>
        <v/>
      </c>
      <c r="G50" s="7" t="inlineStr">
        <is>
          <t>Validation segment</t>
        </is>
      </c>
      <c r="H50" s="7" t="inlineStr">
        <is>
          <t>—</t>
        </is>
      </c>
      <c r="I50" s="7" t="inlineStr">
        <is>
          <t>—</t>
        </is>
      </c>
      <c r="J50" s="7" t="inlineStr">
        <is>
          <t>tr.rising_fast.cov30; tr.rising_fast.n30</t>
        </is>
      </c>
    </row>
    <row r="51">
      <c r="A51" s="7" t="inlineStr">
        <is>
          <t>Trend context — VALIDATION</t>
        </is>
      </c>
      <c r="B51" s="7" t="inlineStr">
        <is>
          <t>rising_fast, 60 min: macro MAE</t>
        </is>
      </c>
      <c r="C51" s="12">
        <f>IF(AND(ISNUMBER(Sources!$C$169)),Sources!$C$169,"unavailable")</f>
        <v/>
      </c>
      <c r="D51" s="7" t="inlineStr">
        <is>
          <t>mg/dL</t>
        </is>
      </c>
      <c r="E51" s="16" t="inlineStr">
        <is>
          <t>—</t>
        </is>
      </c>
      <c r="F51" s="16">
        <f>IF(AND(ISNUMBER(Sources!$C$171)),Sources!$C$171,"unavailable")</f>
        <v/>
      </c>
      <c r="G51" s="7" t="inlineStr">
        <is>
          <t>Validation segment (selection data), not the test</t>
        </is>
      </c>
      <c r="H51" s="7" t="inlineStr">
        <is>
          <t>—</t>
        </is>
      </c>
      <c r="I51" s="7" t="inlineStr">
        <is>
          <t>—</t>
        </is>
      </c>
      <c r="J51" s="7" t="inlineStr">
        <is>
          <t>tr.rising_fast.mae60; tr.rising_fast.n60</t>
        </is>
      </c>
    </row>
    <row r="52">
      <c r="A52" s="7" t="inlineStr">
        <is>
          <t>Trend context — VALIDATION</t>
        </is>
      </c>
      <c r="B52" s="7" t="inlineStr">
        <is>
          <t>rising_fast, 60 min: served range coverage</t>
        </is>
      </c>
      <c r="C52" s="17">
        <f>IF(AND(ISNUMBER(Sources!$C$170)),Sources!$C$170,"unavailable")</f>
        <v/>
      </c>
      <c r="D52" s="7" t="inlineStr">
        <is>
          <t>share</t>
        </is>
      </c>
      <c r="E52" s="16" t="inlineStr">
        <is>
          <t>—</t>
        </is>
      </c>
      <c r="F52" s="16">
        <f>IF(AND(ISNUMBER(Sources!$C$171)),Sources!$C$171,"unavailable")</f>
        <v/>
      </c>
      <c r="G52" s="7" t="inlineStr">
        <is>
          <t>Validation segment</t>
        </is>
      </c>
      <c r="H52" s="7" t="inlineStr">
        <is>
          <t>—</t>
        </is>
      </c>
      <c r="I52" s="7" t="inlineStr">
        <is>
          <t>—</t>
        </is>
      </c>
      <c r="J52" s="7" t="inlineStr">
        <is>
          <t>tr.rising_fast.cov60; tr.rising_fast.n60</t>
        </is>
      </c>
    </row>
    <row r="53">
      <c r="A53" s="7" t="inlineStr">
        <is>
          <t>Trend context — FINAL TEST (D-050, read once)</t>
        </is>
      </c>
      <c r="B53" s="7" t="inlineStr">
        <is>
          <t>rising, 30 min: served range coverage</t>
        </is>
      </c>
      <c r="C53" s="17">
        <f>IF(AND(ISNUMBER(Sources!$C$326)),Sources!$C$326,"unavailable")</f>
        <v/>
      </c>
      <c r="D53" s="7" t="inlineStr">
        <is>
          <t>share</t>
        </is>
      </c>
      <c r="E53" s="16" t="inlineStr">
        <is>
          <t>—</t>
        </is>
      </c>
      <c r="F53" s="16">
        <f>IF(AND(ISNUMBER(Sources!$C$327)),Sources!$C$327,"unavailable")</f>
        <v/>
      </c>
      <c r="G53" s="7" t="inlineStr">
        <is>
          <t>Final test, retrospective; rising/falling = |slope| &gt; 1 mg/dL/min</t>
        </is>
      </c>
      <c r="H53" s="7" t="inlineStr">
        <is>
          <t>—</t>
        </is>
      </c>
      <c r="I53" s="7" t="inlineStr">
        <is>
          <t>—</t>
        </is>
      </c>
      <c r="J53" s="7" t="inlineStr">
        <is>
          <t>rg.inc.rising30; rg.inc.risingn30</t>
        </is>
      </c>
    </row>
    <row r="54">
      <c r="A54" s="7" t="inlineStr">
        <is>
          <t>Trend context — FINAL TEST (D-050, read once)</t>
        </is>
      </c>
      <c r="B54" s="7" t="inlineStr">
        <is>
          <t>rising, 60 min: served range coverage</t>
        </is>
      </c>
      <c r="C54" s="17">
        <f>IF(AND(ISNUMBER(Sources!$C$334)),Sources!$C$334,"unavailable")</f>
        <v/>
      </c>
      <c r="D54" s="7" t="inlineStr">
        <is>
          <t>share</t>
        </is>
      </c>
      <c r="E54" s="16" t="inlineStr">
        <is>
          <t>—</t>
        </is>
      </c>
      <c r="F54" s="16">
        <f>IF(AND(ISNUMBER(Sources!$C$335)),Sources!$C$335,"unavailable")</f>
        <v/>
      </c>
      <c r="G54" s="7" t="inlineStr">
        <is>
          <t>Final test, retrospective; rising/falling = |slope| &gt; 1 mg/dL/min</t>
        </is>
      </c>
      <c r="H54" s="7" t="inlineStr">
        <is>
          <t>—</t>
        </is>
      </c>
      <c r="I54" s="7" t="inlineStr">
        <is>
          <t>—</t>
        </is>
      </c>
      <c r="J54" s="7" t="inlineStr">
        <is>
          <t>rg.inc.rising60; rg.inc.risingn60</t>
        </is>
      </c>
    </row>
    <row r="55">
      <c r="A55" s="7" t="inlineStr">
        <is>
          <t>Trend context — FINAL TEST (D-050, read once)</t>
        </is>
      </c>
      <c r="B55" s="7" t="inlineStr">
        <is>
          <t>steady, 30 min: served range coverage</t>
        </is>
      </c>
      <c r="C55" s="17">
        <f>IF(AND(ISNUMBER(Sources!$C$328)),Sources!$C$328,"unavailable")</f>
        <v/>
      </c>
      <c r="D55" s="7" t="inlineStr">
        <is>
          <t>share</t>
        </is>
      </c>
      <c r="E55" s="16" t="inlineStr">
        <is>
          <t>—</t>
        </is>
      </c>
      <c r="F55" s="16">
        <f>IF(AND(ISNUMBER(Sources!$C$329)),Sources!$C$329,"unavailable")</f>
        <v/>
      </c>
      <c r="G55" s="7" t="inlineStr">
        <is>
          <t>Final test, retrospective; rising/falling = |slope| &gt; 1 mg/dL/min</t>
        </is>
      </c>
      <c r="H55" s="7" t="inlineStr">
        <is>
          <t>—</t>
        </is>
      </c>
      <c r="I55" s="7" t="inlineStr">
        <is>
          <t>—</t>
        </is>
      </c>
      <c r="J55" s="7" t="inlineStr">
        <is>
          <t>rg.inc.steady30; rg.inc.steadyn30</t>
        </is>
      </c>
    </row>
    <row r="56">
      <c r="A56" s="7" t="inlineStr">
        <is>
          <t>Trend context — FINAL TEST (D-050, read once)</t>
        </is>
      </c>
      <c r="B56" s="7" t="inlineStr">
        <is>
          <t>steady, 60 min: served range coverage</t>
        </is>
      </c>
      <c r="C56" s="17">
        <f>IF(AND(ISNUMBER(Sources!$C$336)),Sources!$C$336,"unavailable")</f>
        <v/>
      </c>
      <c r="D56" s="7" t="inlineStr">
        <is>
          <t>share</t>
        </is>
      </c>
      <c r="E56" s="16" t="inlineStr">
        <is>
          <t>—</t>
        </is>
      </c>
      <c r="F56" s="16">
        <f>IF(AND(ISNUMBER(Sources!$C$337)),Sources!$C$337,"unavailable")</f>
        <v/>
      </c>
      <c r="G56" s="7" t="inlineStr">
        <is>
          <t>Final test, retrospective; rising/falling = |slope| &gt; 1 mg/dL/min</t>
        </is>
      </c>
      <c r="H56" s="7" t="inlineStr">
        <is>
          <t>—</t>
        </is>
      </c>
      <c r="I56" s="7" t="inlineStr">
        <is>
          <t>—</t>
        </is>
      </c>
      <c r="J56" s="7" t="inlineStr">
        <is>
          <t>rg.inc.steady60; rg.inc.steadyn60</t>
        </is>
      </c>
    </row>
    <row r="57">
      <c r="A57" s="7" t="inlineStr">
        <is>
          <t>Trend context — FINAL TEST (D-050, read once)</t>
        </is>
      </c>
      <c r="B57" s="7" t="inlineStr">
        <is>
          <t>falling, 30 min: served range coverage</t>
        </is>
      </c>
      <c r="C57" s="17">
        <f>IF(AND(ISNUMBER(Sources!$C$330)),Sources!$C$330,"unavailable")</f>
        <v/>
      </c>
      <c r="D57" s="7" t="inlineStr">
        <is>
          <t>share</t>
        </is>
      </c>
      <c r="E57" s="16" t="inlineStr">
        <is>
          <t>—</t>
        </is>
      </c>
      <c r="F57" s="16">
        <f>IF(AND(ISNUMBER(Sources!$C$331)),Sources!$C$331,"unavailable")</f>
        <v/>
      </c>
      <c r="G57" s="7" t="inlineStr">
        <is>
          <t>Final test, retrospective; rising/falling = |slope| &gt; 1 mg/dL/min</t>
        </is>
      </c>
      <c r="H57" s="7" t="inlineStr">
        <is>
          <t>—</t>
        </is>
      </c>
      <c r="I57" s="7" t="inlineStr">
        <is>
          <t>—</t>
        </is>
      </c>
      <c r="J57" s="7" t="inlineStr">
        <is>
          <t>rg.inc.falling30; rg.inc.fallingn30</t>
        </is>
      </c>
    </row>
    <row r="58">
      <c r="A58" s="7" t="inlineStr">
        <is>
          <t>Trend context — FINAL TEST (D-050, read once)</t>
        </is>
      </c>
      <c r="B58" s="7" t="inlineStr">
        <is>
          <t>falling, 60 min: served range coverage</t>
        </is>
      </c>
      <c r="C58" s="17">
        <f>IF(AND(ISNUMBER(Sources!$C$338)),Sources!$C$338,"unavailable")</f>
        <v/>
      </c>
      <c r="D58" s="7" t="inlineStr">
        <is>
          <t>share</t>
        </is>
      </c>
      <c r="E58" s="16" t="inlineStr">
        <is>
          <t>—</t>
        </is>
      </c>
      <c r="F58" s="16">
        <f>IF(AND(ISNUMBER(Sources!$C$339)),Sources!$C$339,"unavailable")</f>
        <v/>
      </c>
      <c r="G58" s="7" t="inlineStr">
        <is>
          <t>Final test, retrospective; rising/falling = |slope| &gt; 1 mg/dL/min</t>
        </is>
      </c>
      <c r="H58" s="7" t="inlineStr">
        <is>
          <t>—</t>
        </is>
      </c>
      <c r="I58" s="7" t="inlineStr">
        <is>
          <t>—</t>
        </is>
      </c>
      <c r="J58" s="7" t="inlineStr">
        <is>
          <t>rg.inc.falling60; rg.inc.fallingn60</t>
        </is>
      </c>
    </row>
    <row r="61">
      <c r="A61" s="3" t="inlineStr">
        <is>
          <t>Chart data: 80 % range coverage by evaluation (target line = 80 %)</t>
        </is>
      </c>
    </row>
    <row r="62">
      <c r="A62" t="inlineStr">
        <is>
          <t>Evaluation</t>
        </is>
      </c>
      <c r="B62" t="inlineStr">
        <is>
          <t>Coverage</t>
        </is>
      </c>
      <c r="C62" t="inlineStr">
        <is>
          <t>Target</t>
        </is>
      </c>
    </row>
    <row r="63">
      <c r="A63" t="inlineStr">
        <is>
          <t>Serving 30 min (test)</t>
        </is>
      </c>
      <c r="B63" s="18">
        <f>IF(AND(ISNUMBER(Sources!$C$79)),Sources!$C$79,"unavailable")</f>
        <v/>
      </c>
      <c r="C63" s="18">
        <f>Sources!$C$493</f>
        <v/>
      </c>
    </row>
    <row r="64">
      <c r="A64" t="inlineStr">
        <is>
          <t>Serving 60 min (test)</t>
        </is>
      </c>
      <c r="B64" s="18">
        <f>IF(AND(ISNUMBER(Sources!$C$85)),Sources!$C$85,"unavailable")</f>
        <v/>
      </c>
      <c r="C64" s="18">
        <f>Sources!$C$493</f>
        <v/>
      </c>
    </row>
    <row r="65">
      <c r="A65" t="inlineStr">
        <is>
          <t>Nested research 30 min</t>
        </is>
      </c>
      <c r="B65" s="18">
        <f>IF(AND(ISNUMBER(Sources!$C$197)),Sources!$C$197,"unavailable")</f>
        <v/>
      </c>
      <c r="C65" s="18">
        <f>Sources!$C$493</f>
        <v/>
      </c>
    </row>
    <row r="66">
      <c r="A66" t="inlineStr">
        <is>
          <t>Nested research 60 min</t>
        </is>
      </c>
      <c r="B66" s="18">
        <f>IF(AND(ISNUMBER(Sources!$C$209)),Sources!$C$209,"unavailable")</f>
        <v/>
      </c>
      <c r="C66" s="18">
        <f>Sources!$C$493</f>
        <v/>
      </c>
    </row>
    <row r="67">
      <c r="A67" t="inlineStr">
        <is>
          <t>D-050 candidate 30 (not served)</t>
        </is>
      </c>
      <c r="B67" s="18">
        <f>IF(AND(ISNUMBER(Sources!$C$340)),Sources!$C$340,"unavailable")</f>
        <v/>
      </c>
      <c r="C67" s="18">
        <f>Sources!$C$493</f>
        <v/>
      </c>
    </row>
    <row r="68">
      <c r="A68" t="inlineStr">
        <is>
          <t>D-050 candidate 60 (not served)</t>
        </is>
      </c>
      <c r="B68" s="18">
        <f>IF(AND(ISNUMBER(Sources!$C$345)),Sources!$C$345,"unavailable")</f>
        <v/>
      </c>
      <c r="C68" s="18">
        <f>Sources!$C$493</f>
        <v/>
      </c>
    </row>
    <row r="69">
      <c r="A69" t="inlineStr">
        <is>
          <t>D-053 S 30 (not adopted)</t>
        </is>
      </c>
      <c r="B69" s="18">
        <f>IF(AND(ISNUMBER(Sources!$C$427)),Sources!$C$427,"unavailable")</f>
        <v/>
      </c>
      <c r="C69" s="18">
        <f>Sources!$C$493</f>
        <v/>
      </c>
    </row>
    <row r="70">
      <c r="A70" t="inlineStr">
        <is>
          <t>D-053 S 60 (not adopted)</t>
        </is>
      </c>
      <c r="B70" s="18">
        <f>IF(AND(ISNUMBER(Sources!$C$428)),Sources!$C$428,"unavailable")</f>
        <v/>
      </c>
      <c r="C70" s="18">
        <f>Sources!$C$493</f>
        <v/>
      </c>
    </row>
    <row r="71">
      <c r="A71" t="inlineStr">
        <is>
          <t>Two-hour 120 (D-043)</t>
        </is>
      </c>
      <c r="B71" s="18">
        <f>IF(AND(ISNUMBER(Sources!$C$244)),Sources!$C$244,"unavailable")</f>
        <v/>
      </c>
      <c r="C71" s="18">
        <f>Sources!$C$493</f>
        <v/>
      </c>
    </row>
    <row r="72">
      <c r="A72" t="inlineStr">
        <is>
          <t>Two-hour pooled 120 (D-046)</t>
        </is>
      </c>
      <c r="B72" s="18">
        <f>IF(AND(ISNUMBER(Sources!$C$274)),Sources!$C$274,"unavailable")</f>
        <v/>
      </c>
      <c r="C72" s="18">
        <f>Sources!$C$493</f>
        <v/>
      </c>
    </row>
    <row r="73">
      <c r="A73" t="inlineStr">
        <is>
          <t>External 120 (D-045)</t>
        </is>
      </c>
      <c r="B73" s="18">
        <f>IF(AND(ISNUMBER(Sources!$C$258)),Sources!$C$258,"unavailable")</f>
        <v/>
      </c>
      <c r="C73" s="18">
        <f>Sources!$C$493</f>
        <v/>
      </c>
    </row>
  </sheetData>
  <autoFilter ref="A4:J58"/>
  <hyperlinks>
    <hyperlink xmlns:r="http://schemas.openxmlformats.org/officeDocument/2006/relationships" ref="F1" r:id="rId1"/>
  </hyperlinks>
  <pageMargins left="0.75" right="0.75" top="1" bottom="1" header="0.5" footer="0.5"/>
  <pageSetup orientation="landscape" fitToHeight="0" fitToWidth="1"/>
  <drawing xmlns:r="http://schemas.openxmlformats.org/officeDocument/2006/relationships" r:id="rId2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S17"/>
  <sheetViews>
    <sheetView showGridLines="1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22" customWidth="1" min="3" max="3"/>
    <col width="44" customWidth="1" min="4" max="4"/>
    <col width="34" customWidth="1" min="5" max="5"/>
    <col width="34" customWidth="1" min="6" max="6"/>
    <col width="18" customWidth="1" min="7" max="7"/>
    <col width="18" customWidth="1" min="8" max="8"/>
    <col width="16" customWidth="1" min="9" max="9"/>
    <col width="18" customWidth="1" min="10" max="10"/>
    <col width="26" customWidth="1" min="11" max="11"/>
    <col width="12" customWidth="1" min="12" max="12"/>
    <col width="12" customWidth="1" min="13" max="13"/>
    <col width="13" customWidth="1" min="14" max="14"/>
    <col width="14" customWidth="1" min="15" max="15"/>
    <col width="30" customWidth="1" min="16" max="16"/>
    <col width="44" customWidth="1" min="17" max="17"/>
    <col width="30" customWidth="1" min="18" max="18"/>
    <col width="24" customWidth="1" min="19" max="19"/>
  </cols>
  <sheetData>
    <row r="1">
      <c r="A1" s="1" t="inlineStr">
        <is>
          <t>Studies — D-043 onward, including every negative or unopened result</t>
        </is>
      </c>
      <c r="F1" s="2" t="inlineStr">
        <is>
          <t>← About / navigation</t>
        </is>
      </c>
    </row>
    <row r="2">
      <c r="A2" s="9" t="inlineStr">
        <is>
          <t>Protocol-before-run = protocol file's first git commit precedes the saved run/open time (git dates are local commit evidence, not a clinical registration). 'not opened' / 'unavailable' are never zero.</t>
        </is>
      </c>
    </row>
    <row r="4" ht="32" customHeight="1">
      <c r="A4" s="6" t="inlineStr">
        <is>
          <t>Decision</t>
        </is>
      </c>
      <c r="B4" s="6" t="inlineStr">
        <is>
          <t>Experiment ID</t>
        </is>
      </c>
      <c r="C4" s="6" t="inlineStr">
        <is>
          <t>Kind</t>
        </is>
      </c>
      <c r="D4" s="6" t="inlineStr">
        <is>
          <t>Hypothesis / purpose</t>
        </is>
      </c>
      <c r="E4" s="6" t="inlineStr">
        <is>
          <t>Population and role</t>
        </is>
      </c>
      <c r="F4" s="6" t="inlineStr">
        <is>
          <t>Protocol file</t>
        </is>
      </c>
      <c r="G4" s="6" t="inlineStr">
        <is>
          <t>Protocol first commit (UTC)</t>
        </is>
      </c>
      <c r="H4" s="6" t="inlineStr">
        <is>
          <t>Run start / assessment opened (UTC)</t>
        </is>
      </c>
      <c r="I4" s="6" t="inlineStr">
        <is>
          <t>Protocol-before-run (formula)</t>
        </is>
      </c>
      <c r="J4" s="6" t="inlineStr">
        <is>
          <t>Fit budget</t>
        </is>
      </c>
      <c r="K4" s="6" t="inlineStr">
        <is>
          <t>Assessment-opening status</t>
        </is>
      </c>
      <c r="L4" s="6" t="inlineStr">
        <is>
          <t>Candidate metric</t>
        </is>
      </c>
      <c r="M4" s="6" t="inlineStr">
        <is>
          <t>Control metric</t>
        </is>
      </c>
      <c r="N4" s="6" t="inlineStr">
        <is>
          <t>Candidate − control (formula)</t>
        </is>
      </c>
      <c r="O4" s="6" t="inlineStr">
        <is>
          <t>Gate outcome (Gates sheet)</t>
        </is>
      </c>
      <c r="P4" s="6" t="inlineStr">
        <is>
          <t>Adoption decision</t>
        </is>
      </c>
      <c r="Q4" s="6" t="inlineStr">
        <is>
          <t>Negative findings / limits</t>
        </is>
      </c>
      <c r="R4" s="6" t="inlineStr">
        <is>
          <t>Report</t>
        </is>
      </c>
      <c r="S4" s="6" t="inlineStr">
        <is>
          <t>Artifact status</t>
        </is>
      </c>
    </row>
    <row r="5">
      <c r="A5" s="7" t="inlineStr">
        <is>
          <t>D-032</t>
        </is>
      </c>
      <c r="B5" s="7" t="inlineStr">
        <is>
          <t>gt-nested-2026-10-12-v1</t>
        </is>
      </c>
      <c r="C5" s="7" t="inlineStr">
        <is>
          <t>Nested internal + external</t>
        </is>
      </c>
      <c r="D5" s="7" t="inlineStr">
        <is>
          <t>New-participant and external evidence for the procedure</t>
        </is>
      </c>
      <c r="E5" s="7" t="inlineStr">
        <is>
          <t>14 CGMacros people held out once; 98 ShanghaiT2DM external</t>
        </is>
      </c>
      <c r="F5" s="7" t="inlineStr">
        <is>
          <t>configs/experiments/gt-nested-2026-10-12-v1.yaml</t>
        </is>
      </c>
      <c r="G5" s="10" t="n">
        <v>46307.63163194444</v>
      </c>
      <c r="H5" s="10">
        <f>IF(AND(ISNUMBER(Sources!$C$223)),Sources!$C$223,"unavailable")</f>
        <v/>
      </c>
      <c r="I5" s="7">
        <f>IF(AND(ISNUMBER(G5),ISNUMBER(H5)),IF(G5&lt;H5,"commit precedes run","commit does NOT precede run"),"not applicable")</f>
        <v/>
      </c>
      <c r="J5" s="7" t="inlineStr">
        <is>
          <t>—</t>
        </is>
      </c>
      <c r="K5" s="7" t="inlineStr">
        <is>
          <t>Opened once (internal and external)</t>
        </is>
      </c>
      <c r="L5" s="12">
        <f>IF(AND(ISNUMBER(Sources!$C$192)),Sources!$C$192,"unavailable")</f>
        <v/>
      </c>
      <c r="M5" s="12">
        <f>IF(AND(ISNUMBER(Sources!$C$194)),Sources!$C$194,"unavailable")</f>
        <v/>
      </c>
      <c r="N5" s="12">
        <f>IF(AND(ISNUMBER(L5),ISNUMBER(M5)),L5-M5,"—")</f>
        <v/>
      </c>
      <c r="O5" s="7" t="inlineStr">
        <is>
          <t>—</t>
        </is>
      </c>
      <c r="P5" s="7" t="inlineStr">
        <is>
          <t>Research candidate, not promoted</t>
        </is>
      </c>
      <c r="Q5" s="7" t="inlineStr">
        <is>
          <t>Git commit of the protocol file postdates its freeze/open timestamps; the frozen protocol hash in report.json is the evidence</t>
        </is>
      </c>
      <c r="R5" s="7" t="inlineStr">
        <is>
          <t>reports/nested_benchmark_report.md</t>
        </is>
      </c>
      <c r="S5" s="7" t="inlineStr">
        <is>
          <t>local / reproducible-only (git-ignored)</t>
        </is>
      </c>
    </row>
    <row r="6">
      <c r="A6" s="7" t="inlineStr">
        <is>
          <t>D-043</t>
        </is>
      </c>
      <c r="B6" s="7" t="inlineStr">
        <is>
          <t>gt-2h-2026-10-20</t>
        </is>
      </c>
      <c r="C6" s="7" t="inlineStr">
        <is>
          <t>Two-hour forecast + warning</t>
        </is>
      </c>
      <c r="D6" s="7" t="inlineStr">
        <is>
          <t>Does a 120-min forecast and warning work on people held out?</t>
        </is>
      </c>
      <c r="E6" s="7" t="inlineStr">
        <is>
          <t>14 CGMacros people held out once (inspected)</t>
        </is>
      </c>
      <c r="F6" s="7" t="inlineStr">
        <is>
          <t>configs/experiments/gt-2h-2026-10-20.yaml</t>
        </is>
      </c>
      <c r="G6" s="10" t="n">
        <v>46315.38916666667</v>
      </c>
      <c r="H6" s="10">
        <f>IF(AND(ISNUMBER(Sources!$C$246)),Sources!$C$246,"unavailable")</f>
        <v/>
      </c>
      <c r="I6" s="7">
        <f>IF(AND(ISNUMBER(G6),ISNUMBER(H6)),IF(G6&lt;H6,"commit precedes run","commit does NOT precede run"),"not applicable")</f>
        <v/>
      </c>
      <c r="J6" s="7" t="inlineStr">
        <is>
          <t>Same procedure as D-032</t>
        </is>
      </c>
      <c r="K6" s="7" t="inlineStr">
        <is>
          <t>Opened once</t>
        </is>
      </c>
      <c r="L6" s="12">
        <f>IF(AND(ISNUMBER(Sources!$C$228)),Sources!$C$228,"unavailable")</f>
        <v/>
      </c>
      <c r="M6" s="12">
        <f>IF(AND(ISNUMBER(Sources!$C$229)),Sources!$C$229,"unavailable")</f>
        <v/>
      </c>
      <c r="N6" s="12">
        <f>IF(AND(ISNUMBER(L6),ISNUMBER(M6)),L6-M6,"—")</f>
        <v/>
      </c>
      <c r="O6" s="7" t="inlineStr">
        <is>
          <t>—</t>
        </is>
      </c>
      <c r="P6" s="7" t="inlineStr">
        <is>
          <t>Research only; demo model unchanged</t>
        </is>
      </c>
      <c r="Q6" s="7" t="inlineStr">
        <is>
          <t>Median lead 15 min; ranges under-cover (76.5 %)</t>
        </is>
      </c>
      <c r="R6" s="7" t="inlineStr">
        <is>
          <t>reports/two_hour_benchmark.md</t>
        </is>
      </c>
      <c r="S6" s="7" t="inlineStr">
        <is>
          <t>local / reproducible-only (git-ignored)</t>
        </is>
      </c>
    </row>
    <row r="7">
      <c r="A7" s="7" t="inlineStr">
        <is>
          <t>D-044</t>
        </is>
      </c>
      <c r="B7" s="7" t="inlineStr">
        <is>
          <t>gt-2h-clf-2026-10-20</t>
        </is>
      </c>
      <c r="C7" s="7" t="inlineStr">
        <is>
          <t>Direct onset classifier</t>
        </is>
      </c>
      <c r="D7" s="7" t="inlineStr">
        <is>
          <t>Does a classifier trained on the event warn earlier at the same workload?</t>
        </is>
      </c>
      <c r="E7" s="7" t="inlineStr">
        <is>
          <t>Folds of D-043</t>
        </is>
      </c>
      <c r="F7" s="7" t="inlineStr">
        <is>
          <t>configs/experiments/gt-2h-clf-2026-10-20.yaml</t>
        </is>
      </c>
      <c r="G7" s="10" t="n">
        <v>46315.41460648148</v>
      </c>
      <c r="H7" s="10">
        <f>IF(AND(ISNUMBER(Sources!$C$266)),Sources!$C$266,"unavailable")</f>
        <v/>
      </c>
      <c r="I7" s="7">
        <f>IF(AND(ISNUMBER(G7),ISNUMBER(H7)),IF(G7&lt;H7,"commit precedes run","commit does NOT precede run"),"not applicable")</f>
        <v/>
      </c>
      <c r="J7" s="7" t="inlineStr">
        <is>
          <t>Fixed settings</t>
        </is>
      </c>
      <c r="K7" s="7" t="inlineStr">
        <is>
          <t>Opened, then re-opened once (post-hoc diagnostic, reason logged)</t>
        </is>
      </c>
      <c r="L7" s="12" t="inlineStr">
        <is>
          <t>—</t>
        </is>
      </c>
      <c r="M7" s="12" t="inlineStr">
        <is>
          <t>—</t>
        </is>
      </c>
      <c r="N7" s="12">
        <f>IF(AND(ISNUMBER(L7),ISNUMBER(M7)),L7-M7,"—")</f>
        <v/>
      </c>
      <c r="O7" s="7" t="inlineStr">
        <is>
          <t>—</t>
        </is>
      </c>
      <c r="P7" s="7" t="inlineStr">
        <is>
          <t>Rejected (negative result)</t>
        </is>
      </c>
      <c r="Q7" s="7" t="inlineStr">
        <is>
          <t>Threshold hit the grid minimum; warning active ~99 % of eligible time</t>
        </is>
      </c>
      <c r="R7" s="7" t="inlineStr">
        <is>
          <t>reports/two_hour_classifier.md</t>
        </is>
      </c>
      <c r="S7" s="7" t="inlineStr">
        <is>
          <t>local / reproducible-only (git-ignored)</t>
        </is>
      </c>
    </row>
    <row r="8">
      <c r="A8" s="7" t="inlineStr">
        <is>
          <t>D-045</t>
        </is>
      </c>
      <c r="B8" s="7" t="inlineStr">
        <is>
          <t>gt-2h-ext-2026-10-20</t>
        </is>
      </c>
      <c r="C8" s="7" t="inlineStr">
        <is>
          <t>External two-hour</t>
        </is>
      </c>
      <c r="D8" s="7" t="inlineStr">
        <is>
          <t>Does the 120-min forecast hold on an independent cohort?</t>
        </is>
      </c>
      <c r="E8" s="7" t="inlineStr">
        <is>
          <t>98 ShanghaiT2DM people (external)</t>
        </is>
      </c>
      <c r="F8" s="7" t="inlineStr">
        <is>
          <t>configs/experiments/gt-2h-ext-2026-10-20.yaml</t>
        </is>
      </c>
      <c r="G8" s="10" t="n">
        <v>46315.42278935185</v>
      </c>
      <c r="H8" s="10">
        <f>IF(AND(ISNUMBER(Sources!$C$260)),Sources!$C$260,"unavailable")</f>
        <v/>
      </c>
      <c r="I8" s="7">
        <f>IF(AND(ISNUMBER(G8),ISNUMBER(H8)),IF(G8&lt;H8,"commit precedes run","commit does NOT precede run"),"not applicable")</f>
        <v/>
      </c>
      <c r="J8" s="7" t="inlineStr">
        <is>
          <t>15-min track of D-032</t>
        </is>
      </c>
      <c r="K8" s="7" t="inlineStr">
        <is>
          <t>Second opening of the external cohort</t>
        </is>
      </c>
      <c r="L8" s="12">
        <f>IF(AND(ISNUMBER(Sources!$C$251)),Sources!$C$251,"unavailable")</f>
        <v/>
      </c>
      <c r="M8" s="12">
        <f>IF(AND(ISNUMBER(Sources!$C$252)),Sources!$C$252,"unavailable")</f>
        <v/>
      </c>
      <c r="N8" s="12">
        <f>IF(AND(ISNUMBER(L8),ISNUMBER(M8)),L8-M8,"—")</f>
        <v/>
      </c>
      <c r="O8" s="7" t="inlineStr">
        <is>
          <t>—</t>
        </is>
      </c>
      <c r="P8" s="7" t="inlineStr">
        <is>
          <t>Research only</t>
        </is>
      </c>
      <c r="Q8" s="7" t="inlineStr">
        <is>
          <t>CGM only; not the fusion model</t>
        </is>
      </c>
      <c r="R8" s="7" t="inlineStr">
        <is>
          <t>reports/two_hour_external.md</t>
        </is>
      </c>
      <c r="S8" s="7" t="inlineStr">
        <is>
          <t>local / reproducible-only (git-ignored)</t>
        </is>
      </c>
    </row>
    <row r="9">
      <c r="A9" s="7" t="inlineStr">
        <is>
          <t>D-046</t>
        </is>
      </c>
      <c r="B9" s="7" t="inlineStr">
        <is>
          <t>gt-warn-range-2026-10-20</t>
        </is>
      </c>
      <c r="C9" s="7" t="inlineStr">
        <is>
          <t>Re-analysis of saved D-043 predictions</t>
        </is>
      </c>
      <c r="D9" s="7" t="inlineStr">
        <is>
          <t>Earlier warning (A), pooled ranges (B), profile prior (C)</t>
        </is>
      </c>
      <c r="E9" s="7" t="inlineStr">
        <is>
          <t>Same 14 inspected people</t>
        </is>
      </c>
      <c r="F9" s="7" t="inlineStr">
        <is>
          <t>configs/experiments/gt-warn-range-2026-10-20.yaml</t>
        </is>
      </c>
      <c r="G9" s="10" t="n">
        <v>46315.51518518518</v>
      </c>
      <c r="H9" s="10">
        <f>IF(AND(ISNUMBER(Sources!$C$290)),Sources!$C$290,"unavailable")</f>
        <v/>
      </c>
      <c r="I9" s="7">
        <f>IF(AND(ISNUMBER(G9),ISNUMBER(H9)),IF(G9&lt;H9,"commit precedes run","commit does NOT precede run"),"not applicable")</f>
        <v/>
      </c>
      <c r="J9" s="7" t="inlineStr">
        <is>
          <t>No model refit</t>
        </is>
      </c>
      <c r="K9" s="7" t="inlineStr">
        <is>
          <t>Outer predictions read once</t>
        </is>
      </c>
      <c r="L9" s="17">
        <f>IF(AND(ISNUMBER(Sources!$C$274)),Sources!$C$274,"unavailable")</f>
        <v/>
      </c>
      <c r="M9" s="17">
        <f>IF(AND(ISNUMBER(Sources!$C$270)),Sources!$C$270,"unavailable")</f>
        <v/>
      </c>
      <c r="N9" s="17">
        <f>IF(AND(ISNUMBER(L9),ISNUMBER(M9)),L9-M9,"—")</f>
        <v/>
      </c>
      <c r="O9" s="7" t="inlineStr">
        <is>
          <t>—</t>
        </is>
      </c>
      <c r="P9" s="7" t="inlineStr">
        <is>
          <t>B positive (not applied to serving); A and C negative</t>
        </is>
      </c>
      <c r="Q9" s="7" t="inlineStr">
        <is>
          <t>A: +0.9 pt [−5.5, +6.6]; C: CI crosses zero</t>
        </is>
      </c>
      <c r="R9" s="7" t="inlineStr">
        <is>
          <t>reports/warning_range_experiment.md</t>
        </is>
      </c>
      <c r="S9" s="7" t="inlineStr">
        <is>
          <t>local / reproducible-only (git-ignored)</t>
        </is>
      </c>
    </row>
    <row r="10">
      <c r="A10" s="7" t="inlineStr">
        <is>
          <t>D-047</t>
        </is>
      </c>
      <c r="B10" s="7" t="inlineStr">
        <is>
          <t>—</t>
        </is>
      </c>
      <c r="C10" s="7" t="inlineStr">
        <is>
          <t>Software (public synthetic mode)</t>
        </is>
      </c>
      <c r="D10" s="7" t="inlineStr">
        <is>
          <t>Not a model experiment: opt-in public synthetic demonstration</t>
        </is>
      </c>
      <c r="E10" s="7" t="inlineStr">
        <is>
          <t>Synthetic participants only</t>
        </is>
      </c>
      <c r="F10" s="7" t="inlineStr">
        <is>
          <t>—</t>
        </is>
      </c>
      <c r="G10" s="10" t="inlineStr">
        <is>
          <t>—</t>
        </is>
      </c>
      <c r="H10" s="10" t="inlineStr">
        <is>
          <t>—</t>
        </is>
      </c>
      <c r="I10" s="7">
        <f>IF(AND(ISNUMBER(G10),ISNUMBER(H10)),IF(G10&lt;H10,"commit precedes run","commit does NOT precede run"),"not applicable")</f>
        <v/>
      </c>
      <c r="J10" s="7" t="inlineStr">
        <is>
          <t>—</t>
        </is>
      </c>
      <c r="K10" s="7" t="inlineStr">
        <is>
          <t>not applicable</t>
        </is>
      </c>
      <c r="L10" s="12" t="inlineStr">
        <is>
          <t>—</t>
        </is>
      </c>
      <c r="M10" s="12" t="inlineStr">
        <is>
          <t>—</t>
        </is>
      </c>
      <c r="N10" s="12">
        <f>IF(AND(ISNUMBER(L10),ISNUMBER(M10)),L10-M10,"—")</f>
        <v/>
      </c>
      <c r="O10" s="7" t="inlineStr">
        <is>
          <t>—</t>
        </is>
      </c>
      <c r="P10" s="7" t="inlineStr">
        <is>
          <t>Implemented; not deployed</t>
        </is>
      </c>
      <c r="Q10" s="7" t="inlineStr">
        <is>
          <t>No performance claim</t>
        </is>
      </c>
      <c r="R10" s="7" t="inlineStr">
        <is>
          <t>docs/deploy.md</t>
        </is>
      </c>
      <c r="S10" s="7" t="inlineStr">
        <is>
          <t>—</t>
        </is>
      </c>
    </row>
    <row r="11">
      <c r="A11" s="7" t="inlineStr">
        <is>
          <t>D-048</t>
        </is>
      </c>
      <c r="B11" s="7" t="inlineStr">
        <is>
          <t>gt-blend-2026-10-21</t>
        </is>
      </c>
      <c r="C11" s="7" t="inlineStr">
        <is>
          <t>Saved-prediction blend</t>
        </is>
      </c>
      <c r="D11" s="7" t="inlineStr">
        <is>
          <t>Does a LightGBM/CatBoost blend lower 60-min error by ≥ 0.5?</t>
        </is>
      </c>
      <c r="E11" s="7" t="inlineStr">
        <is>
          <t>12 development people (inner out-of-fold)</t>
        </is>
      </c>
      <c r="F11" s="7" t="inlineStr">
        <is>
          <t>configs/experiments/gt-blend-2026-10-21.yaml</t>
        </is>
      </c>
      <c r="G11" s="10" t="n">
        <v>46315.6296412037</v>
      </c>
      <c r="H11" s="10">
        <f>IF(AND(ISNUMBER(Sources!$C$299)),Sources!$C$299,"unavailable")</f>
        <v/>
      </c>
      <c r="I11" s="7">
        <f>IF(AND(ISNUMBER(G11),ISNUMBER(H11)),IF(G11&lt;H11,"commit precedes run","commit does NOT precede run"),"not applicable")</f>
        <v/>
      </c>
      <c r="J11" s="7" t="inlineStr">
        <is>
          <t>No fit (saved predictions)</t>
        </is>
      </c>
      <c r="K11" s="7" t="inlineStr">
        <is>
          <t>NOT OPENED (stop rule: target not met)</t>
        </is>
      </c>
      <c r="L11" s="12">
        <f>IF(AND(ISNUMBER(Sources!$C$297),ISNUMBER(Sources!$C$291)),Sources!$C$297-Sources!$C$291,"unavailable")</f>
        <v/>
      </c>
      <c r="M11" s="12">
        <f>IF(AND(ISNUMBER(Sources!$C$297)),Sources!$C$297,"unavailable")</f>
        <v/>
      </c>
      <c r="N11" s="12">
        <f>IF(AND(ISNUMBER(L11),ISNUMBER(M11)),L11-M11,"—")</f>
        <v/>
      </c>
      <c r="O11" s="7">
        <f>Gates!$G$35</f>
        <v/>
      </c>
      <c r="P11" s="7" t="inlineStr">
        <is>
          <t>Target not met; incumbent retained</t>
        </is>
      </c>
      <c r="Q11" s="7" t="inlineStr">
        <is>
          <t>Gain 0.02 mg/dL vs needed 0.5</t>
        </is>
      </c>
      <c r="R11" s="7" t="inlineStr">
        <is>
          <t>docs/decisions.md D-048</t>
        </is>
      </c>
      <c r="S11" s="7" t="inlineStr">
        <is>
          <t>local / reproducible-only (git-ignored)</t>
        </is>
      </c>
    </row>
    <row r="12">
      <c r="A12" s="7" t="inlineStr">
        <is>
          <t>D-049</t>
        </is>
      </c>
      <c r="B12" s="7" t="inlineStr">
        <is>
          <t>gt-retrain-2026-10-21</t>
        </is>
      </c>
      <c r="C12" s="7" t="inlineStr">
        <is>
          <t>Retraining arms</t>
        </is>
      </c>
      <c r="D12" s="7" t="inlineStr">
        <is>
          <t>Do weighting or history features lower 60-min error by ≥ 0.5?</t>
        </is>
      </c>
      <c r="E12" s="7" t="inlineStr">
        <is>
          <t>12 development people (inner out-of-fold)</t>
        </is>
      </c>
      <c r="F12" s="7" t="inlineStr">
        <is>
          <t>configs/experiments/gt-retrain-2026-10-21.yaml</t>
        </is>
      </c>
      <c r="G12" s="10" t="n">
        <v>46315.70842592593</v>
      </c>
      <c r="H12" s="10">
        <f>IF(AND(ISNUMBER(Sources!$C$318)),Sources!$C$318,"unavailable")</f>
        <v/>
      </c>
      <c r="I12" s="7">
        <f>IF(AND(ISNUMBER(G12),ISNUMBER(H12)),IF(G12&lt;H12,"commit precedes run","commit does NOT precede run"),"not applicable")</f>
        <v/>
      </c>
      <c r="J12" s="7" t="inlineStr">
        <is>
          <t>24 fresh fits, fixed settings</t>
        </is>
      </c>
      <c r="K12" s="7" t="inlineStr">
        <is>
          <t>NOT OPENED (no arm met the gate)</t>
        </is>
      </c>
      <c r="L12" s="12" t="inlineStr">
        <is>
          <t>—</t>
        </is>
      </c>
      <c r="M12" s="12" t="inlineStr">
        <is>
          <t>—</t>
        </is>
      </c>
      <c r="N12" s="12">
        <f>IF(AND(ISNUMBER(L12),ISNUMBER(M12)),L12-M12,"—")</f>
        <v/>
      </c>
      <c r="O12" s="7">
        <f>Gates!$G$36</f>
        <v/>
      </c>
      <c r="P12" s="7" t="inlineStr">
        <is>
          <t>B0 retained</t>
        </is>
      </c>
      <c r="Q12" s="7" t="inlineStr">
        <is>
          <t>Best arm B1 gain 0.41 &lt; 0.5; descriptive population-only result is after selection</t>
        </is>
      </c>
      <c r="R12" s="7" t="inlineStr">
        <is>
          <t>reports/retrain_study.md</t>
        </is>
      </c>
      <c r="S12" s="7" t="inlineStr">
        <is>
          <t>local / reproducible-only (git-ignored)</t>
        </is>
      </c>
    </row>
    <row r="13">
      <c r="A13" s="7" t="inlineStr">
        <is>
          <t>D-050</t>
        </is>
      </c>
      <c r="B13" s="7" t="inlineStr">
        <is>
          <t>gt-ranges-2026-10-21</t>
        </is>
      </c>
      <c r="C13" s="7" t="inlineStr">
        <is>
          <t>Range shape study</t>
        </is>
      </c>
      <c r="D13" s="7" t="inlineStr">
        <is>
          <t>Does a trend-stratified range beat the global range before test?</t>
        </is>
      </c>
      <c r="E13" s="7" t="inlineStr">
        <is>
          <t>Serving pipeline; validation→calibration (pre-test), test read once</t>
        </is>
      </c>
      <c r="F13" s="7" t="inlineStr">
        <is>
          <t>configs/experiments/gt-ranges-2026-10-21.yaml</t>
        </is>
      </c>
      <c r="G13" s="10" t="n">
        <v>46315.73590277778</v>
      </c>
      <c r="H13" s="10">
        <f>IF(AND(ISNUMBER(Sources!$C$350)),Sources!$C$350,"unavailable")</f>
        <v/>
      </c>
      <c r="I13" s="7">
        <f>IF(AND(ISNUMBER(G13),ISNUMBER(H13)),IF(G13&lt;H13,"commit precedes run","commit does NOT precede run"),"not applicable")</f>
        <v/>
      </c>
      <c r="J13" s="7" t="inlineStr">
        <is>
          <t>No model refit</t>
        </is>
      </c>
      <c r="K13" s="7" t="inlineStr">
        <is>
          <t>Final test read once, retrospective (inspected segment)</t>
        </is>
      </c>
      <c r="L13" s="17">
        <f>IF(AND(ISNUMBER(Sources!$C$345)),Sources!$C$345,"unavailable")</f>
        <v/>
      </c>
      <c r="M13" s="17">
        <f>IF(AND(ISNUMBER(Sources!$C$332)),Sources!$C$332,"unavailable")</f>
        <v/>
      </c>
      <c r="N13" s="17">
        <f>IF(AND(ISNUMBER(L13),ISNUMBER(M13)),L13-M13,"—")</f>
        <v/>
      </c>
      <c r="O13" s="7">
        <f>Gates!$G$37</f>
        <v/>
      </c>
      <c r="P13" s="7" t="inlineStr">
        <is>
          <t>G kept; pooled calibration is a research candidate only</t>
        </is>
      </c>
      <c r="Q13" s="7" t="inlineStr">
        <is>
          <t>Candidate coverage is on inspected data — not the served interval</t>
        </is>
      </c>
      <c r="R13" s="7" t="inlineStr">
        <is>
          <t>reports/serving_ranges_study.md</t>
        </is>
      </c>
      <c r="S13" s="7" t="inlineStr">
        <is>
          <t>local / reproducible-only (git-ignored)</t>
        </is>
      </c>
    </row>
    <row r="14">
      <c r="A14" s="7" t="inlineStr">
        <is>
          <t>D-051</t>
        </is>
      </c>
      <c r="B14" s="7" t="inlineStr">
        <is>
          <t>gt-tune-2026-10-21</t>
        </is>
      </c>
      <c r="C14" s="7" t="inlineStr">
        <is>
          <t>Nested tuning</t>
        </is>
      </c>
      <c r="D14" s="7" t="inlineStr">
        <is>
          <t>Does tuned 24-h history (C1) beat equally tuned current features (C0)?</t>
        </is>
      </c>
      <c r="E14" s="7" t="inlineStr">
        <is>
          <t>14 people held out once (inspected)</t>
        </is>
      </c>
      <c r="F14" s="7" t="inlineStr">
        <is>
          <t>configs/experiments/gt-tune-2026-10-21.yaml</t>
        </is>
      </c>
      <c r="G14" s="10" t="n">
        <v>46315.73931712963</v>
      </c>
      <c r="H14" s="10">
        <f>IF(AND(ISNUMBER(Sources!$C$367)),Sources!$C$367,"unavailable")</f>
        <v/>
      </c>
      <c r="I14" s="7">
        <f>IF(AND(ISNUMBER(G14),ISNUMBER(H14)),IF(G14&lt;H14,"commit precedes run","commit does NOT precede run"),"not applicable")</f>
        <v/>
      </c>
      <c r="J14" s="7" t="inlineStr">
        <is>
          <t>30 seeded trials per horizon (implemented budget)</t>
        </is>
      </c>
      <c r="K14" s="7" t="inlineStr">
        <is>
          <t>Outer folds opened once</t>
        </is>
      </c>
      <c r="L14" s="12">
        <f>IF(AND(ISNUMBER(Sources!$C$352)),Sources!$C$352,"unavailable")</f>
        <v/>
      </c>
      <c r="M14" s="12">
        <f>IF(AND(ISNUMBER(Sources!$C$351)),Sources!$C$351,"unavailable")</f>
        <v/>
      </c>
      <c r="N14" s="12">
        <f>IF(AND(ISNUMBER(L14),ISNUMBER(M14)),L14-M14,"—")</f>
        <v/>
      </c>
      <c r="O14" s="7">
        <f>Gates!$G$38</f>
        <v/>
      </c>
      <c r="P14" s="7" t="inlineStr">
        <is>
          <t>Not adopted</t>
        </is>
      </c>
      <c r="Q14" s="7" t="inlineStr">
        <is>
          <t>Small internal gain vs equally tuned C0 is not a release and is not the same as a comparison with the refitted serving recipe</t>
        </is>
      </c>
      <c r="R14" s="7" t="inlineStr">
        <is>
          <t>reports/tune_study.md</t>
        </is>
      </c>
      <c r="S14" s="7" t="inlineStr">
        <is>
          <t>local / reproducible-only (git-ignored)</t>
        </is>
      </c>
    </row>
    <row r="15">
      <c r="A15" s="7" t="inlineStr">
        <is>
          <t>D-052</t>
        </is>
      </c>
      <c r="B15" s="7" t="inlineStr">
        <is>
          <t>gt-joint-2026-10-21</t>
        </is>
      </c>
      <c r="C15" s="7" t="inlineStr">
        <is>
          <t>Joint model + correction selection</t>
        </is>
      </c>
      <c r="D15" s="7" t="inlineStr">
        <is>
          <t>Does joint selection on personalised error beat R0?</t>
        </is>
      </c>
      <c r="E15" s="7" t="inlineStr">
        <is>
          <t>14 people held out once (inspected)</t>
        </is>
      </c>
      <c r="F15" s="7" t="inlineStr">
        <is>
          <t>configs/experiments/gt-joint-2026-10-21.yaml</t>
        </is>
      </c>
      <c r="G15" s="10" t="n">
        <v>46315.77836805556</v>
      </c>
      <c r="H15" s="10">
        <f>IF(AND(ISNUMBER(Sources!$C$387)),Sources!$C$387,"unavailable")</f>
        <v/>
      </c>
      <c r="I15" s="7">
        <f>IF(AND(ISNUMBER(G15),ISNUMBER(H15)),IF(G15&lt;H15,"commit precedes run","commit does NOT precede run"),"not applicable")</f>
        <v/>
      </c>
      <c r="J15" s="7" t="inlineStr">
        <is>
          <t>1,570 fits</t>
        </is>
      </c>
      <c r="K15" s="7" t="inlineStr">
        <is>
          <t>Outer folds opened once</t>
        </is>
      </c>
      <c r="L15" s="12">
        <f>IF(AND(ISNUMBER(Sources!$C$368)),Sources!$C$368,"unavailable")</f>
        <v/>
      </c>
      <c r="M15" s="12">
        <f>IF(AND(ISNUMBER(Sources!$C$371)),Sources!$C$371,"unavailable")</f>
        <v/>
      </c>
      <c r="N15" s="12">
        <f>IF(AND(ISNUMBER(L15),ISNUMBER(M15)),L15-M15,"—")</f>
        <v/>
      </c>
      <c r="O15" s="7">
        <f>Gates!$G$39</f>
        <v/>
      </c>
      <c r="P15" s="7" t="inlineStr">
        <is>
          <t>Not adopted</t>
        </is>
      </c>
      <c r="Q15" s="7" t="inlineStr">
        <is>
          <t>High-target +1.70 &gt; 1.0; warning guardrails failed; mixed-fit range erratum</t>
        </is>
      </c>
      <c r="R15" s="7" t="inlineStr">
        <is>
          <t>reports/joint_study.md</t>
        </is>
      </c>
      <c r="S15" s="7" t="inlineStr">
        <is>
          <t>local / reproducible-only (git-ignored)</t>
        </is>
      </c>
    </row>
    <row r="16">
      <c r="A16" s="7" t="inlineStr">
        <is>
          <t>D-053</t>
        </is>
      </c>
      <c r="B16" s="7" t="inlineStr">
        <is>
          <t>gt-constrained-2026-10-21</t>
        </is>
      </c>
      <c r="C16" s="7" t="inlineStr">
        <is>
          <t>Constrained (peak-aware) selection</t>
        </is>
      </c>
      <c r="D16" s="7" t="inlineStr">
        <is>
          <t>Can selection constrained on high-target error and workload beat R0?</t>
        </is>
      </c>
      <c r="E16" s="7" t="inlineStr">
        <is>
          <t>14 people held out once (inspected)</t>
        </is>
      </c>
      <c r="F16" s="7" t="inlineStr">
        <is>
          <t>configs/experiments/gt-constrained-2026-10-21.yaml</t>
        </is>
      </c>
      <c r="G16" s="10" t="n">
        <v>46316.7096875</v>
      </c>
      <c r="H16" s="10">
        <f>IF(AND(ISNUMBER(Sources!$C$429)),Sources!$C$429,"unavailable")</f>
        <v/>
      </c>
      <c r="I16" s="7">
        <f>IF(AND(ISNUMBER(G16),ISNUMBER(H16)),IF(G16&lt;H16,"commit precedes run","commit does NOT precede run"),"not applicable")</f>
        <v/>
      </c>
      <c r="J16" s="7" t="inlineStr">
        <is>
          <t>1,490 logical / 2,930 physical fits</t>
        </is>
      </c>
      <c r="K16" s="7" t="inlineStr">
        <is>
          <t>Assessment opened once</t>
        </is>
      </c>
      <c r="L16" s="12">
        <f>IF(AND(ISNUMBER(Sources!$C$390)),Sources!$C$390,"unavailable")</f>
        <v/>
      </c>
      <c r="M16" s="12">
        <f>IF(AND(ISNUMBER(Sources!$C$392)),Sources!$C$392,"unavailable")</f>
        <v/>
      </c>
      <c r="N16" s="12">
        <f>IF(AND(ISNUMBER(L16),ISNUMBER(M16)),L16-M16,"—")</f>
        <v/>
      </c>
      <c r="O16" s="7">
        <f>Gates!$G$40</f>
        <v/>
      </c>
      <c r="P16" s="7" t="inlineStr">
        <is>
          <t>NOT ADOPTED (primary gate failed)</t>
        </is>
      </c>
      <c r="Q16" s="7" t="inlineStr">
        <is>
          <t>High-target worsening +1.0658 vs +1.0 limit</t>
        </is>
      </c>
      <c r="R16" s="7" t="inlineStr">
        <is>
          <t>reports/constrained_study.md</t>
        </is>
      </c>
      <c r="S16" s="7" t="inlineStr">
        <is>
          <t>local / reproducible-only (git-ignored)</t>
        </is>
      </c>
    </row>
    <row r="17">
      <c r="A17" s="7" t="inlineStr">
        <is>
          <t>D-054</t>
        </is>
      </c>
      <c r="B17" s="7" t="inlineStr">
        <is>
          <t>gt-foundation-2026-10-21</t>
        </is>
      </c>
      <c r="C17" s="7" t="inlineStr">
        <is>
          <t>Zero-shot foundation baseline</t>
        </is>
      </c>
      <c r="D17" s="7" t="inlineStr">
        <is>
          <t>Does a pretrained time-series model beat the tuned tree?</t>
        </is>
      </c>
      <c r="E17" s="7" t="inlineStr">
        <is>
          <t>14 people, all eligible origins (inspected)</t>
        </is>
      </c>
      <c r="F17" s="7" t="inlineStr">
        <is>
          <t>configs/experiments/gt-foundation-2026-10-21.yaml</t>
        </is>
      </c>
      <c r="G17" s="10" t="n">
        <v>46316.66743055556</v>
      </c>
      <c r="H17" s="10">
        <f>IF(AND(ISNUMBER(Sources!$C$451)),Sources!$C$451,"unavailable")</f>
        <v/>
      </c>
      <c r="I17" s="7">
        <f>IF(AND(ISNUMBER(G17),ISNUMBER(H17)),IF(G17&lt;H17,"commit precedes run","commit does NOT precede run"),"not applicable")</f>
        <v/>
      </c>
      <c r="J17" s="7" t="inlineStr">
        <is>
          <t>No fit (zero-shot); one descriptive residual template</t>
        </is>
      </c>
      <c r="K17" s="7" t="inlineStr">
        <is>
          <t>Scored once</t>
        </is>
      </c>
      <c r="L17" s="12">
        <f>IF(AND(ISNUMBER(Sources!$C$432)),Sources!$C$432,"unavailable")</f>
        <v/>
      </c>
      <c r="M17" s="12">
        <f>IF(AND(ISNUMBER(Sources!$C$436)),Sources!$C$436,"unavailable")</f>
        <v/>
      </c>
      <c r="N17" s="12">
        <f>IF(AND(ISNUMBER(L17),ISNUMBER(M17)),L17-M17,"—")</f>
        <v/>
      </c>
      <c r="O17" s="7" t="inlineStr">
        <is>
          <t>—</t>
        </is>
      </c>
      <c r="P17" s="7" t="inlineStr">
        <is>
          <t>Not served; descriptive</t>
        </is>
      </c>
      <c r="Q17" s="7" t="inlineStr">
        <is>
          <t>Not better than refitted recipe; worse above 180; pretraining data may include public CGM</t>
        </is>
      </c>
      <c r="R17" s="7" t="inlineStr">
        <is>
          <t>reports/foundation_baseline.md</t>
        </is>
      </c>
      <c r="S17" s="7" t="inlineStr">
        <is>
          <t>local / reproducible-only (git-ignored)</t>
        </is>
      </c>
    </row>
  </sheetData>
  <autoFilter ref="A4:S17"/>
  <hyperlinks>
    <hyperlink xmlns:r="http://schemas.openxmlformats.org/officeDocument/2006/relationships" ref="F1" r:id="rId1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43"/>
  <sheetViews>
    <sheetView showGridLines="1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50" customWidth="1" min="3" max="3"/>
    <col width="14" customWidth="1" min="4" max="4"/>
    <col width="10" customWidth="1" min="5" max="5"/>
    <col width="10" customWidth="1" min="6" max="6"/>
    <col width="12" customWidth="1" min="7" max="7"/>
    <col width="12" customWidth="1" min="8" max="8"/>
    <col width="12" customWidth="1" min="9" max="9"/>
    <col width="50" customWidth="1" min="10" max="10"/>
    <col width="34" customWidth="1" min="11" max="11"/>
  </cols>
  <sheetData>
    <row r="1">
      <c r="A1" s="1" t="inlineStr">
        <is>
          <t>Gates — the declared rules applied to unrounded saved values</t>
        </is>
      </c>
      <c r="F1" s="2" t="inlineStr">
        <is>
          <t>← About / navigation</t>
        </is>
      </c>
    </row>
    <row r="2">
      <c r="A2" s="9" t="inlineStr">
        <is>
          <t>Value column holds the unrounded source value (display format may round). Result = formula; 'Saved outcome' = the artifact's own flag. A study passes only if every criterion row passes.</t>
        </is>
      </c>
    </row>
    <row r="4" ht="32" customHeight="1">
      <c r="A4" s="6" t="inlineStr">
        <is>
          <t>Study</t>
        </is>
      </c>
      <c r="B4" s="6" t="inlineStr">
        <is>
          <t>Gate group</t>
        </is>
      </c>
      <c r="C4" s="6" t="inlineStr">
        <is>
          <t>Criterion (as declared)</t>
        </is>
      </c>
      <c r="D4" s="6" t="inlineStr">
        <is>
          <t>Metric value (unrounded)</t>
        </is>
      </c>
      <c r="E4" s="6" t="inlineStr">
        <is>
          <t>Comparator</t>
        </is>
      </c>
      <c r="F4" s="6" t="inlineStr">
        <is>
          <t>Limit</t>
        </is>
      </c>
      <c r="G4" s="6" t="inlineStr">
        <is>
          <t>Result (formula)</t>
        </is>
      </c>
      <c r="H4" s="6" t="inlineStr">
        <is>
          <t>Saved outcome</t>
        </is>
      </c>
      <c r="I4" s="6" t="inlineStr">
        <is>
          <t>Agrees with saved?</t>
        </is>
      </c>
      <c r="J4" s="6" t="inlineStr">
        <is>
          <t>Sign convention / note</t>
        </is>
      </c>
      <c r="K4" s="6" t="inlineStr">
        <is>
          <t>Source IDs</t>
        </is>
      </c>
    </row>
    <row r="5">
      <c r="A5" s="7" t="inlineStr">
        <is>
          <t>D-048</t>
        </is>
      </c>
      <c r="B5" s="7" t="inlineStr">
        <is>
          <t>Development target</t>
        </is>
      </c>
      <c r="C5" s="7" t="inlineStr">
        <is>
          <t>Selected alpha improves 60-min dev MAE vs alpha = 1 by ≥ 0.5 mg/dL</t>
        </is>
      </c>
      <c r="D5" s="8">
        <f>IF(AND(ISNUMBER(Sources!$C$291)),Sources!$C$291,"unavailable")</f>
        <v/>
      </c>
      <c r="E5" s="7" t="inlineStr">
        <is>
          <t>&gt;=</t>
        </is>
      </c>
      <c r="F5" s="7" t="n">
        <v>0.5</v>
      </c>
      <c r="G5" s="7">
        <f>IF(ISNUMBER(D5),IF(D5&gt;=F5,"PASS","FAIL"),"FAIL (undefined)")</f>
        <v/>
      </c>
      <c r="H5" s="7" t="inlineStr">
        <is>
          <t>—</t>
        </is>
      </c>
      <c r="I5" s="7" t="inlineStr">
        <is>
          <t>—</t>
        </is>
      </c>
      <c r="J5" s="7" t="inlineStr">
        <is>
          <t>Improvement positive = gain (alpha = 1 minus selected)</t>
        </is>
      </c>
      <c r="K5" s="7" t="inlineStr">
        <is>
          <t>blend.improvement_60</t>
        </is>
      </c>
    </row>
    <row r="6">
      <c r="A6" s="7" t="inlineStr">
        <is>
          <t>D-048</t>
        </is>
      </c>
      <c r="B6" s="7" t="inlineStr">
        <is>
          <t>Guardrail</t>
        </is>
      </c>
      <c r="C6" s="7" t="inlineStr">
        <is>
          <t>30-min worsening ≤ 0.25</t>
        </is>
      </c>
      <c r="D6" s="8">
        <f>IF(AND(ISNUMBER(Sources!$C$292)),Sources!$C$292,"unavailable")</f>
        <v/>
      </c>
      <c r="E6" s="7" t="inlineStr">
        <is>
          <t>&lt;=</t>
        </is>
      </c>
      <c r="F6" s="7" t="n">
        <v>0.25</v>
      </c>
      <c r="G6" s="7">
        <f>IF(ISNUMBER(D6),IF(D6&lt;=F6,"PASS","FAIL"),"FAIL (undefined)")</f>
        <v/>
      </c>
      <c r="H6" s="7" t="inlineStr">
        <is>
          <t>—</t>
        </is>
      </c>
      <c r="I6" s="7" t="inlineStr">
        <is>
          <t>—</t>
        </is>
      </c>
      <c r="J6" s="7" t="inlineStr">
        <is>
          <t>Candidate − control</t>
        </is>
      </c>
      <c r="K6" s="7" t="inlineStr">
        <is>
          <t>blend.worsening_30</t>
        </is>
      </c>
    </row>
    <row r="7">
      <c r="A7" s="7" t="inlineStr">
        <is>
          <t>D-048</t>
        </is>
      </c>
      <c r="B7" s="7" t="inlineStr">
        <is>
          <t>Guardrail</t>
        </is>
      </c>
      <c r="C7" s="7" t="inlineStr">
        <is>
          <t>High-glucose 60-min worsening ≤ 1.0</t>
        </is>
      </c>
      <c r="D7" s="8">
        <f>IF(AND(ISNUMBER(Sources!$C$293)),Sources!$C$293,"unavailable")</f>
        <v/>
      </c>
      <c r="E7" s="7" t="inlineStr">
        <is>
          <t>&lt;=</t>
        </is>
      </c>
      <c r="F7" s="7" t="n">
        <v>1</v>
      </c>
      <c r="G7" s="7">
        <f>IF(ISNUMBER(D7),IF(D7&lt;=F7,"PASS","FAIL"),"FAIL (undefined)")</f>
        <v/>
      </c>
      <c r="H7" s="7" t="inlineStr">
        <is>
          <t>—</t>
        </is>
      </c>
      <c r="I7" s="7" t="inlineStr">
        <is>
          <t>—</t>
        </is>
      </c>
      <c r="J7" s="7" t="inlineStr">
        <is>
          <t>Candidate − control</t>
        </is>
      </c>
      <c r="K7" s="7" t="inlineStr">
        <is>
          <t>blend.high_worsening_60</t>
        </is>
      </c>
    </row>
    <row r="8">
      <c r="A8" s="7" t="inlineStr">
        <is>
          <t>D-048</t>
        </is>
      </c>
      <c r="B8" s="7" t="inlineStr">
        <is>
          <t>Guardrail</t>
        </is>
      </c>
      <c r="C8" s="7" t="inlineStr">
        <is>
          <t>Availability drop ≤ 0.5 points</t>
        </is>
      </c>
      <c r="D8" s="8">
        <f>IF(AND(ISNUMBER(Sources!$C$294)),Sources!$C$294,"unavailable")</f>
        <v/>
      </c>
      <c r="E8" s="7" t="inlineStr">
        <is>
          <t>&lt;=</t>
        </is>
      </c>
      <c r="F8" s="7" t="n">
        <v>0.5</v>
      </c>
      <c r="G8" s="7">
        <f>IF(ISNUMBER(D8),IF(D8&lt;=F8,"PASS","FAIL"),"FAIL (undefined)")</f>
        <v/>
      </c>
      <c r="H8" s="7" t="inlineStr">
        <is>
          <t>—</t>
        </is>
      </c>
      <c r="I8" s="7" t="inlineStr">
        <is>
          <t>—</t>
        </is>
      </c>
      <c r="J8" s="7" t="inlineStr"/>
      <c r="K8" s="7" t="inlineStr">
        <is>
          <t>blend.availability_drop_points</t>
        </is>
      </c>
    </row>
    <row r="9">
      <c r="A9" s="7" t="inlineStr">
        <is>
          <t>D-049</t>
        </is>
      </c>
      <c r="B9" s="7" t="inlineStr">
        <is>
          <t>Gate (A1)</t>
        </is>
      </c>
      <c r="C9" s="7" t="inlineStr">
        <is>
          <t>A1 60-min personalised gain vs B0 ≥ 0.5</t>
        </is>
      </c>
      <c r="D9" s="8">
        <f>IF(AND(ISNUMBER(Sources!$C$300)),Sources!$C$300,"unavailable")</f>
        <v/>
      </c>
      <c r="E9" s="7" t="inlineStr">
        <is>
          <t>&gt;=</t>
        </is>
      </c>
      <c r="F9" s="7" t="n">
        <v>0.5</v>
      </c>
      <c r="G9" s="7">
        <f>IF(ISNUMBER(D9),IF(D9&gt;=F9,"PASS","FAIL"),"FAIL (undefined)")</f>
        <v/>
      </c>
      <c r="H9" s="7" t="inlineStr">
        <is>
          <t>—</t>
        </is>
      </c>
      <c r="I9" s="7" t="inlineStr">
        <is>
          <t>—</t>
        </is>
      </c>
      <c r="J9" s="7" t="inlineStr">
        <is>
          <t>Gain positive = lower error (B0 − arm)</t>
        </is>
      </c>
      <c r="K9" s="7" t="inlineStr">
        <is>
          <t>rt.A1.gain_60</t>
        </is>
      </c>
    </row>
    <row r="10">
      <c r="A10" s="7" t="inlineStr">
        <is>
          <t>D-049</t>
        </is>
      </c>
      <c r="B10" s="7" t="inlineStr">
        <is>
          <t>Gate (A2)</t>
        </is>
      </c>
      <c r="C10" s="7" t="inlineStr">
        <is>
          <t>A2 60-min personalised gain vs B0 ≥ 0.5</t>
        </is>
      </c>
      <c r="D10" s="8">
        <f>IF(AND(ISNUMBER(Sources!$C$305)),Sources!$C$305,"unavailable")</f>
        <v/>
      </c>
      <c r="E10" s="7" t="inlineStr">
        <is>
          <t>&gt;=</t>
        </is>
      </c>
      <c r="F10" s="7" t="n">
        <v>0.5</v>
      </c>
      <c r="G10" s="7">
        <f>IF(ISNUMBER(D10),IF(D10&gt;=F10,"PASS","FAIL"),"FAIL (undefined)")</f>
        <v/>
      </c>
      <c r="H10" s="7" t="inlineStr">
        <is>
          <t>—</t>
        </is>
      </c>
      <c r="I10" s="7" t="inlineStr">
        <is>
          <t>—</t>
        </is>
      </c>
      <c r="J10" s="7" t="inlineStr">
        <is>
          <t>Gain positive = lower error</t>
        </is>
      </c>
      <c r="K10" s="7" t="inlineStr">
        <is>
          <t>rt.A2.gain_60</t>
        </is>
      </c>
    </row>
    <row r="11">
      <c r="A11" s="7" t="inlineStr">
        <is>
          <t>D-049</t>
        </is>
      </c>
      <c r="B11" s="7" t="inlineStr">
        <is>
          <t>Gate (B1)</t>
        </is>
      </c>
      <c r="C11" s="7" t="inlineStr">
        <is>
          <t>B1 60-min personalised gain vs B0 ≥ 0.5</t>
        </is>
      </c>
      <c r="D11" s="8">
        <f>IF(AND(ISNUMBER(Sources!$C$310)),Sources!$C$310,"unavailable")</f>
        <v/>
      </c>
      <c r="E11" s="7" t="inlineStr">
        <is>
          <t>&gt;=</t>
        </is>
      </c>
      <c r="F11" s="7" t="n">
        <v>0.5</v>
      </c>
      <c r="G11" s="7">
        <f>IF(ISNUMBER(D11),IF(D11&gt;=F11,"PASS","FAIL"),"FAIL (undefined)")</f>
        <v/>
      </c>
      <c r="H11" s="7" t="inlineStr">
        <is>
          <t>—</t>
        </is>
      </c>
      <c r="I11" s="7" t="inlineStr">
        <is>
          <t>—</t>
        </is>
      </c>
      <c r="J11" s="7" t="inlineStr">
        <is>
          <t>Gain positive = lower error</t>
        </is>
      </c>
      <c r="K11" s="7" t="inlineStr">
        <is>
          <t>rt.B1.gain_60</t>
        </is>
      </c>
    </row>
    <row r="12">
      <c r="A12" s="7" t="inlineStr">
        <is>
          <t>D-050</t>
        </is>
      </c>
      <c r="B12" s="7" t="inlineStr">
        <is>
          <t>Adoption (T replaces G)</t>
        </is>
      </c>
      <c r="C12" s="7" t="inlineStr">
        <is>
          <t>Pre-test mean |coverage − 0.80|: T better than G by ≥ 1.0 point</t>
        </is>
      </c>
      <c r="D12" s="8">
        <f>IF(AND(ISNUMBER(Sources!$C$319),ISNUMBER(Sources!$C$321)),(Sources!$C$319-Sources!$C$321)*100,"unavailable")</f>
        <v/>
      </c>
      <c r="E12" s="7" t="inlineStr">
        <is>
          <t>&gt;=</t>
        </is>
      </c>
      <c r="F12" s="7" t="n">
        <v>1</v>
      </c>
      <c r="G12" s="7">
        <f>IF(ISNUMBER(D12),IF(D12&gt;=F12,"PASS","FAIL"),"FAIL (undefined)")</f>
        <v/>
      </c>
      <c r="H12" s="7" t="inlineStr">
        <is>
          <t>—</t>
        </is>
      </c>
      <c r="I12" s="7" t="inlineStr">
        <is>
          <t>—</t>
        </is>
      </c>
      <c r="J12" s="7" t="inlineStr">
        <is>
          <t>G − T in points; positive = T closer to 80 %</t>
        </is>
      </c>
      <c r="K12" s="7" t="inlineStr">
        <is>
          <t>rg.err.G; rg.err.T</t>
        </is>
      </c>
    </row>
    <row r="13">
      <c r="A13" s="7" t="inlineStr">
        <is>
          <t>D-050</t>
        </is>
      </c>
      <c r="B13" s="7" t="inlineStr">
        <is>
          <t>Adoption (T replaces G)</t>
        </is>
      </c>
      <c r="C13" s="7" t="inlineStr">
        <is>
          <t>T mean width ≤ 1.15 × G width</t>
        </is>
      </c>
      <c r="D13" s="8">
        <f>IF(AND(ISNUMBER(Sources!$C$322),ISNUMBER(Sources!$C$320)),Sources!$C$322/Sources!$C$320,"unavailable")</f>
        <v/>
      </c>
      <c r="E13" s="7" t="inlineStr">
        <is>
          <t>&lt;=</t>
        </is>
      </c>
      <c r="F13" s="7" t="n">
        <v>1.15</v>
      </c>
      <c r="G13" s="7">
        <f>IF(ISNUMBER(D13),IF(D13&lt;=F13,"PASS","FAIL"),"FAIL (undefined)")</f>
        <v/>
      </c>
      <c r="H13" s="7" t="inlineStr">
        <is>
          <t>—</t>
        </is>
      </c>
      <c r="I13" s="7" t="inlineStr">
        <is>
          <t>—</t>
        </is>
      </c>
      <c r="J13" s="7" t="inlineStr">
        <is>
          <t>Ratio</t>
        </is>
      </c>
      <c r="K13" s="7" t="inlineStr">
        <is>
          <t>rg.width.T; rg.width.G</t>
        </is>
      </c>
    </row>
    <row r="14">
      <c r="A14" s="7" t="inlineStr">
        <is>
          <t>D-051</t>
        </is>
      </c>
      <c r="B14" s="7" t="inlineStr">
        <is>
          <t>Adoption</t>
        </is>
      </c>
      <c r="C14" s="7" t="inlineStr">
        <is>
          <t>C1 − C0 at 60 min ≤ −0.5 mg/dL</t>
        </is>
      </c>
      <c r="D14" s="8">
        <f>IF(AND(ISNUMBER(Sources!$C$355)),Sources!$C$355,"unavailable")</f>
        <v/>
      </c>
      <c r="E14" s="7" t="inlineStr">
        <is>
          <t>&lt;=</t>
        </is>
      </c>
      <c r="F14" s="7" t="n">
        <v>-0.5</v>
      </c>
      <c r="G14" s="7">
        <f>IF(ISNUMBER(D14),IF(D14&lt;=F14,"PASS","FAIL"),"FAIL (undefined)")</f>
        <v/>
      </c>
      <c r="H14" s="7" t="inlineStr">
        <is>
          <t>—</t>
        </is>
      </c>
      <c r="I14" s="7" t="inlineStr">
        <is>
          <t>—</t>
        </is>
      </c>
      <c r="J14" s="7" t="inlineStr">
        <is>
          <t>Candidate − control (negative = gain)</t>
        </is>
      </c>
      <c r="K14" s="7" t="inlineStr">
        <is>
          <t>tu.c1c0.mean_diff</t>
        </is>
      </c>
    </row>
    <row r="15">
      <c r="A15" s="7" t="inlineStr">
        <is>
          <t>D-051</t>
        </is>
      </c>
      <c r="B15" s="7" t="inlineStr">
        <is>
          <t>Adoption</t>
        </is>
      </c>
      <c r="C15" s="7" t="inlineStr">
        <is>
          <t>Bootstrap 95 % CI upper &lt; 0</t>
        </is>
      </c>
      <c r="D15" s="8">
        <f>IF(AND(ISNUMBER(Sources!$C$357)),Sources!$C$357,"unavailable")</f>
        <v/>
      </c>
      <c r="E15" s="7" t="inlineStr">
        <is>
          <t>&lt;</t>
        </is>
      </c>
      <c r="F15" s="7" t="n">
        <v>0</v>
      </c>
      <c r="G15" s="7">
        <f>IF(ISNUMBER(D15),IF(D15&lt;F15,"PASS","FAIL"),"FAIL (undefined)")</f>
        <v/>
      </c>
      <c r="H15" s="7" t="inlineStr">
        <is>
          <t>—</t>
        </is>
      </c>
      <c r="I15" s="7" t="inlineStr">
        <is>
          <t>—</t>
        </is>
      </c>
      <c r="J15" s="7" t="inlineStr">
        <is>
          <t>Participant bootstrap</t>
        </is>
      </c>
      <c r="K15" s="7" t="inlineStr">
        <is>
          <t>tu.c1c0.hi</t>
        </is>
      </c>
    </row>
    <row r="16">
      <c r="A16" s="7" t="inlineStr">
        <is>
          <t>D-051</t>
        </is>
      </c>
      <c r="B16" s="7" t="inlineStr">
        <is>
          <t>Adoption</t>
        </is>
      </c>
      <c r="C16" s="7" t="inlineStr">
        <is>
          <t>30-min worsening ≤ 0.25</t>
        </is>
      </c>
      <c r="D16" s="8">
        <f>IF(AND(ISNUMBER(Sources!$C$363)),Sources!$C$363,"unavailable")</f>
        <v/>
      </c>
      <c r="E16" s="7" t="inlineStr">
        <is>
          <t>&lt;=</t>
        </is>
      </c>
      <c r="F16" s="7" t="n">
        <v>0.25</v>
      </c>
      <c r="G16" s="7">
        <f>IF(ISNUMBER(D16),IF(D16&lt;=F16,"PASS","FAIL"),"FAIL (undefined)")</f>
        <v/>
      </c>
      <c r="H16" s="7" t="inlineStr">
        <is>
          <t>—</t>
        </is>
      </c>
      <c r="I16" s="7" t="inlineStr">
        <is>
          <t>—</t>
        </is>
      </c>
      <c r="J16" s="7" t="inlineStr">
        <is>
          <t>Candidate − control</t>
        </is>
      </c>
      <c r="K16" s="7" t="inlineStr">
        <is>
          <t>tu.adopt.worsening_30</t>
        </is>
      </c>
    </row>
    <row r="17">
      <c r="A17" s="7" t="inlineStr">
        <is>
          <t>D-051</t>
        </is>
      </c>
      <c r="B17" s="7" t="inlineStr">
        <is>
          <t>Adoption</t>
        </is>
      </c>
      <c r="C17" s="7" t="inlineStr">
        <is>
          <t>High-glucose 60-min worsening ≤ 1.0</t>
        </is>
      </c>
      <c r="D17" s="8">
        <f>IF(AND(ISNUMBER(Sources!$C$364)),Sources!$C$364,"unavailable")</f>
        <v/>
      </c>
      <c r="E17" s="7" t="inlineStr">
        <is>
          <t>&lt;=</t>
        </is>
      </c>
      <c r="F17" s="7" t="n">
        <v>1</v>
      </c>
      <c r="G17" s="7">
        <f>IF(ISNUMBER(D17),IF(D17&lt;=F17,"PASS","FAIL"),"FAIL (undefined)")</f>
        <v/>
      </c>
      <c r="H17" s="7" t="inlineStr">
        <is>
          <t>—</t>
        </is>
      </c>
      <c r="I17" s="7" t="inlineStr">
        <is>
          <t>—</t>
        </is>
      </c>
      <c r="J17" s="7" t="inlineStr">
        <is>
          <t>Candidate − control</t>
        </is>
      </c>
      <c r="K17" s="7" t="inlineStr">
        <is>
          <t>tu.adopt.high_worsening_60</t>
        </is>
      </c>
    </row>
    <row r="18">
      <c r="A18" s="7" t="inlineStr">
        <is>
          <t>D-052</t>
        </is>
      </c>
      <c r="B18" s="7" t="inlineStr">
        <is>
          <t>Primary</t>
        </is>
      </c>
      <c r="C18" s="7" t="inlineStr">
        <is>
          <t>S − R0 at 60 min ≤ −0.5</t>
        </is>
      </c>
      <c r="D18" s="8">
        <f>IF(AND(ISNUMBER(Sources!$C$374)),Sources!$C$374,"unavailable")</f>
        <v/>
      </c>
      <c r="E18" s="7" t="inlineStr">
        <is>
          <t>&lt;=</t>
        </is>
      </c>
      <c r="F18" s="7" t="n">
        <v>-0.5</v>
      </c>
      <c r="G18" s="7">
        <f>IF(ISNUMBER(D18),IF(D18&lt;=F18,"PASS","FAIL"),"FAIL (undefined)")</f>
        <v/>
      </c>
      <c r="H18" s="7" t="inlineStr">
        <is>
          <t>—</t>
        </is>
      </c>
      <c r="I18" s="7" t="inlineStr">
        <is>
          <t>—</t>
        </is>
      </c>
      <c r="J18" s="7" t="inlineStr">
        <is>
          <t>Candidate − control</t>
        </is>
      </c>
      <c r="K18" s="7" t="inlineStr">
        <is>
          <t>jt.gate.mean_diff_60</t>
        </is>
      </c>
    </row>
    <row r="19">
      <c r="A19" s="7" t="inlineStr">
        <is>
          <t>D-052</t>
        </is>
      </c>
      <c r="B19" s="7" t="inlineStr">
        <is>
          <t>Primary</t>
        </is>
      </c>
      <c r="C19" s="7" t="inlineStr">
        <is>
          <t>95 % CI upper &lt; 0</t>
        </is>
      </c>
      <c r="D19" s="8">
        <f>IF(AND(ISNUMBER(Sources!$C$376)),Sources!$C$376,"unavailable")</f>
        <v/>
      </c>
      <c r="E19" s="7" t="inlineStr">
        <is>
          <t>&lt;</t>
        </is>
      </c>
      <c r="F19" s="7" t="n">
        <v>0</v>
      </c>
      <c r="G19" s="7">
        <f>IF(ISNUMBER(D19),IF(D19&lt;F19,"PASS","FAIL"),"FAIL (undefined)")</f>
        <v/>
      </c>
      <c r="H19" s="7" t="inlineStr">
        <is>
          <t>—</t>
        </is>
      </c>
      <c r="I19" s="7" t="inlineStr">
        <is>
          <t>—</t>
        </is>
      </c>
      <c r="J19" s="7" t="inlineStr"/>
      <c r="K19" s="7" t="inlineStr">
        <is>
          <t>jt.gate.ci95_60_hi</t>
        </is>
      </c>
    </row>
    <row r="20">
      <c r="A20" s="7" t="inlineStr">
        <is>
          <t>D-052</t>
        </is>
      </c>
      <c r="B20" s="7" t="inlineStr">
        <is>
          <t>Primary</t>
        </is>
      </c>
      <c r="C20" s="7" t="inlineStr">
        <is>
          <t>30-min worsening ≤ 0.25</t>
        </is>
      </c>
      <c r="D20" s="8">
        <f>IF(AND(ISNUMBER(Sources!$C$377)),Sources!$C$377,"unavailable")</f>
        <v/>
      </c>
      <c r="E20" s="7" t="inlineStr">
        <is>
          <t>&lt;=</t>
        </is>
      </c>
      <c r="F20" s="7" t="n">
        <v>0.25</v>
      </c>
      <c r="G20" s="7">
        <f>IF(ISNUMBER(D20),IF(D20&lt;=F20,"PASS","FAIL"),"FAIL (undefined)")</f>
        <v/>
      </c>
      <c r="H20" s="7" t="inlineStr">
        <is>
          <t>—</t>
        </is>
      </c>
      <c r="I20" s="7" t="inlineStr">
        <is>
          <t>—</t>
        </is>
      </c>
      <c r="J20" s="7" t="inlineStr"/>
      <c r="K20" s="7" t="inlineStr">
        <is>
          <t>jt.gate.worsening_30</t>
        </is>
      </c>
    </row>
    <row r="21">
      <c r="A21" s="7" t="inlineStr">
        <is>
          <t>D-052</t>
        </is>
      </c>
      <c r="B21" s="7" t="inlineStr">
        <is>
          <t>Primary</t>
        </is>
      </c>
      <c r="C21" s="7" t="inlineStr">
        <is>
          <t>High-target (&gt; 180) 60-min worsening ≤ 1.0</t>
        </is>
      </c>
      <c r="D21" s="8">
        <f>IF(AND(ISNUMBER(Sources!$C$378)),Sources!$C$378,"unavailable")</f>
        <v/>
      </c>
      <c r="E21" s="7" t="inlineStr">
        <is>
          <t>&lt;=</t>
        </is>
      </c>
      <c r="F21" s="7" t="n">
        <v>1</v>
      </c>
      <c r="G21" s="7">
        <f>IF(ISNUMBER(D21),IF(D21&lt;=F21,"PASS","FAIL"),"FAIL (undefined)")</f>
        <v/>
      </c>
      <c r="H21" s="7" t="inlineStr">
        <is>
          <t>—</t>
        </is>
      </c>
      <c r="I21" s="7" t="inlineStr">
        <is>
          <t>—</t>
        </is>
      </c>
      <c r="J21" s="7" t="inlineStr">
        <is>
          <t>Fails</t>
        </is>
      </c>
      <c r="K21" s="7" t="inlineStr">
        <is>
          <t>jt.gate.high_worsening_60</t>
        </is>
      </c>
    </row>
    <row r="22">
      <c r="A22" s="7" t="inlineStr">
        <is>
          <t>D-052</t>
        </is>
      </c>
      <c r="B22" s="7" t="inlineStr">
        <is>
          <t>Primary</t>
        </is>
      </c>
      <c r="C22" s="7" t="inlineStr">
        <is>
          <t>Availability drop ≤ 0.5 points</t>
        </is>
      </c>
      <c r="D22" s="8">
        <f>IF(AND(ISNUMBER(Sources!$C$379)),Sources!$C$379,"unavailable")</f>
        <v/>
      </c>
      <c r="E22" s="7" t="inlineStr">
        <is>
          <t>&lt;=</t>
        </is>
      </c>
      <c r="F22" s="7" t="n">
        <v>0.5</v>
      </c>
      <c r="G22" s="7">
        <f>IF(ISNUMBER(D22),IF(D22&lt;=F22,"PASS","FAIL"),"FAIL (undefined)")</f>
        <v/>
      </c>
      <c r="H22" s="7" t="inlineStr">
        <is>
          <t>—</t>
        </is>
      </c>
      <c r="I22" s="7" t="inlineStr">
        <is>
          <t>—</t>
        </is>
      </c>
      <c r="J22" s="7" t="inlineStr"/>
      <c r="K22" s="7" t="inlineStr">
        <is>
          <t>jt.gate.availability_drop_points</t>
        </is>
      </c>
    </row>
    <row r="23">
      <c r="A23" s="7" t="inlineStr">
        <is>
          <t>D-052</t>
        </is>
      </c>
      <c r="B23" s="7" t="inlineStr">
        <is>
          <t>Release guardrail</t>
        </is>
      </c>
      <c r="C23" s="7" t="inlineStr">
        <is>
          <t>False alarms/observed day ≤ R0 + 0.10</t>
        </is>
      </c>
      <c r="D23" s="8">
        <f>IF(AND(ISNUMBER(Sources!$C$381)),Sources!$C$381,"unavailable")</f>
        <v/>
      </c>
      <c r="E23" s="7" t="inlineStr">
        <is>
          <t>&lt;=</t>
        </is>
      </c>
      <c r="F23" s="7" t="n">
        <v>0.1</v>
      </c>
      <c r="G23" s="7">
        <f>IF(ISNUMBER(D23),IF(D23&lt;=F23,"PASS","FAIL"),"FAIL (undefined)")</f>
        <v/>
      </c>
      <c r="H23" s="7" t="inlineStr">
        <is>
          <t>—</t>
        </is>
      </c>
      <c r="I23" s="7" t="inlineStr">
        <is>
          <t>—</t>
        </is>
      </c>
      <c r="J23" s="7" t="inlineStr">
        <is>
          <t>S − R0</t>
        </is>
      </c>
      <c r="K23" s="7" t="inlineStr">
        <is>
          <t>jt.rel.fa_per_day_delta</t>
        </is>
      </c>
    </row>
    <row r="24">
      <c r="A24" s="7" t="inlineStr">
        <is>
          <t>D-052</t>
        </is>
      </c>
      <c r="B24" s="7" t="inlineStr">
        <is>
          <t>Release guardrail</t>
        </is>
      </c>
      <c r="C24" s="7" t="inlineStr">
        <is>
          <t>Time in warning ≤ R0 + 2.0 points</t>
        </is>
      </c>
      <c r="D24" s="8">
        <f>IF(AND(ISNUMBER(Sources!$C$382)),Sources!$C$382,"unavailable")</f>
        <v/>
      </c>
      <c r="E24" s="7" t="inlineStr">
        <is>
          <t>&lt;=</t>
        </is>
      </c>
      <c r="F24" s="7" t="n">
        <v>2</v>
      </c>
      <c r="G24" s="7">
        <f>IF(ISNUMBER(D24),IF(D24&lt;=F24,"PASS","FAIL"),"FAIL (undefined)")</f>
        <v/>
      </c>
      <c r="H24" s="7" t="inlineStr">
        <is>
          <t>—</t>
        </is>
      </c>
      <c r="I24" s="7" t="inlineStr">
        <is>
          <t>—</t>
        </is>
      </c>
      <c r="J24" s="7" t="inlineStr">
        <is>
          <t>S − R0</t>
        </is>
      </c>
      <c r="K24" s="7" t="inlineStr">
        <is>
          <t>jt.rel.time_in_warning_delta_points</t>
        </is>
      </c>
    </row>
    <row r="25">
      <c r="A25" s="7" t="inlineStr">
        <is>
          <t>D-052</t>
        </is>
      </c>
      <c r="B25" s="7" t="inlineStr">
        <is>
          <t>Release guardrail</t>
        </is>
      </c>
      <c r="C25" s="7" t="inlineStr">
        <is>
          <t>Share of all onsets warned ≥ 30 min ≥ R0 − 2.0 points</t>
        </is>
      </c>
      <c r="D25" s="8">
        <f>IF(AND(ISNUMBER(Sources!$C$383)),Sources!$C$383,"unavailable")</f>
        <v/>
      </c>
      <c r="E25" s="7" t="inlineStr">
        <is>
          <t>&gt;=</t>
        </is>
      </c>
      <c r="F25" s="7" t="n">
        <v>-2</v>
      </c>
      <c r="G25" s="7">
        <f>IF(ISNUMBER(D25),IF(D25&gt;=F25,"PASS","FAIL"),"FAIL (undefined)")</f>
        <v/>
      </c>
      <c r="H25" s="7" t="inlineStr">
        <is>
          <t>—</t>
        </is>
      </c>
      <c r="I25" s="7" t="inlineStr">
        <is>
          <t>—</t>
        </is>
      </c>
      <c r="J25" s="7" t="inlineStr">
        <is>
          <t>S − R0</t>
        </is>
      </c>
      <c r="K25" s="7" t="inlineStr">
        <is>
          <t>jt.rel.warned30_delta_points</t>
        </is>
      </c>
    </row>
    <row r="26">
      <c r="A26" s="7" t="inlineStr">
        <is>
          <t>D-053</t>
        </is>
      </c>
      <c r="B26" s="7" t="inlineStr">
        <is>
          <t>Primary</t>
        </is>
      </c>
      <c r="C26" s="7" t="inlineStr">
        <is>
          <t>S − R0 at 60 min ≤ −0.5 (inclusive)</t>
        </is>
      </c>
      <c r="D26" s="8">
        <f>IF(AND(ISNUMBER(Sources!$C$401)),Sources!$C$401,"unavailable")</f>
        <v/>
      </c>
      <c r="E26" s="7" t="inlineStr">
        <is>
          <t>&lt;=</t>
        </is>
      </c>
      <c r="F26" s="7" t="n">
        <v>-0.5</v>
      </c>
      <c r="G26" s="7">
        <f>IF(ISNUMBER(D26),IF(D26&lt;=F26,"PASS","FAIL"),"FAIL (undefined)")</f>
        <v/>
      </c>
      <c r="H26" s="7">
        <f>Sources!$C$402</f>
        <v/>
      </c>
      <c r="I26" s="7">
        <f>IF(OR(H26="unavailable",H26=""),"n/a",IF((G26="PASS")=(UPPER(H26)="TRUE"),"agrees","DIFFERS"))</f>
        <v/>
      </c>
      <c r="J26" s="7" t="inlineStr">
        <is>
          <t>Candidate − control</t>
        </is>
      </c>
      <c r="K26" s="7" t="inlineStr">
        <is>
          <t>cs.pg.mean_diff_60; cs.pgok.mean_diff_60</t>
        </is>
      </c>
    </row>
    <row r="27">
      <c r="A27" s="7" t="inlineStr">
        <is>
          <t>D-053</t>
        </is>
      </c>
      <c r="B27" s="7" t="inlineStr">
        <is>
          <t>Primary</t>
        </is>
      </c>
      <c r="C27" s="7" t="inlineStr">
        <is>
          <t>Paired bootstrap 95 % CI upper &lt; 0 (strict)</t>
        </is>
      </c>
      <c r="D27" s="8">
        <f>IF(AND(ISNUMBER(Sources!$C$403)),Sources!$C$403,"unavailable")</f>
        <v/>
      </c>
      <c r="E27" s="7" t="inlineStr">
        <is>
          <t>&lt;</t>
        </is>
      </c>
      <c r="F27" s="7" t="n">
        <v>0</v>
      </c>
      <c r="G27" s="7">
        <f>IF(ISNUMBER(D27),IF(D27&lt;F27,"PASS","FAIL"),"FAIL (undefined)")</f>
        <v/>
      </c>
      <c r="H27" s="7">
        <f>Sources!$C$404</f>
        <v/>
      </c>
      <c r="I27" s="7">
        <f>IF(OR(H27="unavailable",H27=""),"n/a",IF((G27="PASS")=(UPPER(H27)="TRUE"),"agrees","DIFFERS"))</f>
        <v/>
      </c>
      <c r="J27" s="7" t="inlineStr">
        <is>
          <t>2,000 resamples</t>
        </is>
      </c>
      <c r="K27" s="7" t="inlineStr">
        <is>
          <t>cs.pg.ci95_60_hi; cs.pgok.ci95_upper_below_0</t>
        </is>
      </c>
    </row>
    <row r="28">
      <c r="A28" s="7" t="inlineStr">
        <is>
          <t>D-053</t>
        </is>
      </c>
      <c r="B28" s="7" t="inlineStr">
        <is>
          <t>Primary</t>
        </is>
      </c>
      <c r="C28" s="7" t="inlineStr">
        <is>
          <t>30-min worsening ≤ +0.25 (inclusive)</t>
        </is>
      </c>
      <c r="D28" s="8">
        <f>IF(AND(ISNUMBER(Sources!$C$405)),Sources!$C$405,"unavailable")</f>
        <v/>
      </c>
      <c r="E28" s="7" t="inlineStr">
        <is>
          <t>&lt;=</t>
        </is>
      </c>
      <c r="F28" s="7" t="n">
        <v>0.25</v>
      </c>
      <c r="G28" s="7">
        <f>IF(ISNUMBER(D28),IF(D28&lt;=F28,"PASS","FAIL"),"FAIL (undefined)")</f>
        <v/>
      </c>
      <c r="H28" s="7">
        <f>Sources!$C$406</f>
        <v/>
      </c>
      <c r="I28" s="7">
        <f>IF(OR(H28="unavailable",H28=""),"n/a",IF((G28="PASS")=(UPPER(H28)="TRUE"),"agrees","DIFFERS"))</f>
        <v/>
      </c>
      <c r="J28" s="7" t="inlineStr"/>
      <c r="K28" s="7" t="inlineStr">
        <is>
          <t>cs.pg.worsening_30; cs.pgok.worsening_30</t>
        </is>
      </c>
    </row>
    <row r="29">
      <c r="A29" s="7" t="inlineStr">
        <is>
          <t>D-053</t>
        </is>
      </c>
      <c r="B29" s="7" t="inlineStr">
        <is>
          <t>Primary</t>
        </is>
      </c>
      <c r="C29" s="7" t="inlineStr">
        <is>
          <t>High-target (&gt; 180) 60-min worsening ≤ +1.0 (inclusive)</t>
        </is>
      </c>
      <c r="D29" s="8">
        <f>IF(AND(ISNUMBER(Sources!$C$407)),Sources!$C$407,"unavailable")</f>
        <v/>
      </c>
      <c r="E29" s="7" t="inlineStr">
        <is>
          <t>&lt;=</t>
        </is>
      </c>
      <c r="F29" s="7" t="n">
        <v>1</v>
      </c>
      <c r="G29" s="7">
        <f>IF(ISNUMBER(D29),IF(D29&lt;=F29,"PASS","FAIL"),"FAIL (undefined)")</f>
        <v/>
      </c>
      <c r="H29" s="7">
        <f>Sources!$C$408</f>
        <v/>
      </c>
      <c r="I29" s="7">
        <f>IF(OR(H29="unavailable",H29=""),"n/a",IF((G29="PASS")=(UPPER(H29)="TRUE"),"agrees","DIFFERS"))</f>
        <v/>
      </c>
      <c r="J29" s="7" t="inlineStr">
        <is>
          <t>Unrounded ≈ +1.0658 &gt; +1.0 → FAIL at any display rounding</t>
        </is>
      </c>
      <c r="K29" s="7" t="inlineStr">
        <is>
          <t>cs.pg.high_worsening_60; cs.pgok.high_worsening_60</t>
        </is>
      </c>
    </row>
    <row r="30">
      <c r="A30" s="7" t="inlineStr">
        <is>
          <t>D-053</t>
        </is>
      </c>
      <c r="B30" s="7" t="inlineStr">
        <is>
          <t>Primary</t>
        </is>
      </c>
      <c r="C30" s="7" t="inlineStr">
        <is>
          <t>Availability drop ≤ 0.5 points</t>
        </is>
      </c>
      <c r="D30" s="8">
        <f>IF(AND(ISNUMBER(Sources!$C$409)),Sources!$C$409,"unavailable")</f>
        <v/>
      </c>
      <c r="E30" s="7" t="inlineStr">
        <is>
          <t>&lt;=</t>
        </is>
      </c>
      <c r="F30" s="7" t="n">
        <v>0.5</v>
      </c>
      <c r="G30" s="7">
        <f>IF(ISNUMBER(D30),IF(D30&lt;=F30,"PASS","FAIL"),"FAIL (undefined)")</f>
        <v/>
      </c>
      <c r="H30" s="7">
        <f>Sources!$C$410</f>
        <v/>
      </c>
      <c r="I30" s="7">
        <f>IF(OR(H30="unavailable",H30=""),"n/a",IF((G30="PASS")=(UPPER(H30)="TRUE"),"agrees","DIFFERS"))</f>
        <v/>
      </c>
      <c r="J30" s="7" t="inlineStr"/>
      <c r="K30" s="7" t="inlineStr">
        <is>
          <t>cs.pg.availability_drop_points; cs.pgok.availability_drop</t>
        </is>
      </c>
    </row>
    <row r="31">
      <c r="A31" s="7" t="inlineStr">
        <is>
          <t>D-053</t>
        </is>
      </c>
      <c r="B31" s="7" t="inlineStr">
        <is>
          <t>Operational</t>
        </is>
      </c>
      <c r="C31" s="7" t="inlineStr">
        <is>
          <t>False alarms/observed day ≤ R0-P + 0.10</t>
        </is>
      </c>
      <c r="D31" s="8">
        <f>IF(AND(ISNUMBER(Sources!$C$412),ISNUMBER(Sources!$C$418)),Sources!$C$412-Sources!$C$418,"unavailable")</f>
        <v/>
      </c>
      <c r="E31" s="7" t="inlineStr">
        <is>
          <t>&lt;=</t>
        </is>
      </c>
      <c r="F31" s="7" t="n">
        <v>0.1</v>
      </c>
      <c r="G31" s="7">
        <f>IF(ISNUMBER(D31),IF(D31&lt;=F31,"PASS","FAIL"),"FAIL (undefined)")</f>
        <v/>
      </c>
      <c r="H31" s="7" t="inlineStr">
        <is>
          <t>—</t>
        </is>
      </c>
      <c r="I31" s="7" t="inlineStr">
        <is>
          <t>—</t>
        </is>
      </c>
      <c r="J31" s="7" t="inlineStr">
        <is>
          <t>S − R0-P</t>
        </is>
      </c>
      <c r="K31" s="7" t="inlineStr">
        <is>
          <t>cs.w.S.fa_day; cs.w.R0P.fa_day</t>
        </is>
      </c>
    </row>
    <row r="32">
      <c r="A32" s="7" t="inlineStr">
        <is>
          <t>D-053</t>
        </is>
      </c>
      <c r="B32" s="7" t="inlineStr">
        <is>
          <t>Operational</t>
        </is>
      </c>
      <c r="C32" s="7" t="inlineStr">
        <is>
          <t>Time in warning ≤ R0-P + 2.0 points</t>
        </is>
      </c>
      <c r="D32" s="8">
        <f>IF(AND(ISNUMBER(Sources!$C$414),ISNUMBER(Sources!$C$420)),(Sources!$C$414-Sources!$C$420)*100,"unavailable")</f>
        <v/>
      </c>
      <c r="E32" s="7" t="inlineStr">
        <is>
          <t>&lt;=</t>
        </is>
      </c>
      <c r="F32" s="7" t="n">
        <v>2</v>
      </c>
      <c r="G32" s="7">
        <f>IF(ISNUMBER(D32),IF(D32&lt;=F32,"PASS","FAIL"),"FAIL (undefined)")</f>
        <v/>
      </c>
      <c r="H32" s="7" t="inlineStr">
        <is>
          <t>—</t>
        </is>
      </c>
      <c r="I32" s="7" t="inlineStr">
        <is>
          <t>—</t>
        </is>
      </c>
      <c r="J32" s="7" t="inlineStr">
        <is>
          <t>S − R0-P</t>
        </is>
      </c>
      <c r="K32" s="7" t="inlineStr">
        <is>
          <t>cs.w.S.tiw; cs.w.R0P.tiw</t>
        </is>
      </c>
    </row>
    <row r="33">
      <c r="A33" s="7" t="inlineStr">
        <is>
          <t>D-053</t>
        </is>
      </c>
      <c r="B33" s="7" t="inlineStr">
        <is>
          <t>Operational</t>
        </is>
      </c>
      <c r="C33" s="7" t="inlineStr">
        <is>
          <t>Share of all onsets warned ≥ 30 min ≥ R0-P − 2.0 points</t>
        </is>
      </c>
      <c r="D33" s="8">
        <f>IF(AND(ISNUMBER(Sources!$C$413),ISNUMBER(Sources!$C$419)),(Sources!$C$413-Sources!$C$419)*100,"unavailable")</f>
        <v/>
      </c>
      <c r="E33" s="7" t="inlineStr">
        <is>
          <t>&gt;=</t>
        </is>
      </c>
      <c r="F33" s="7" t="n">
        <v>-2</v>
      </c>
      <c r="G33" s="7">
        <f>IF(ISNUMBER(D33),IF(D33&gt;=F33,"PASS","FAIL"),"FAIL (undefined)")</f>
        <v/>
      </c>
      <c r="H33" s="7" t="inlineStr">
        <is>
          <t>—</t>
        </is>
      </c>
      <c r="I33" s="7" t="inlineStr">
        <is>
          <t>—</t>
        </is>
      </c>
      <c r="J33" s="7" t="inlineStr">
        <is>
          <t>S − R0-P</t>
        </is>
      </c>
      <c r="K33" s="7" t="inlineStr">
        <is>
          <t>cs.w.S.share30; cs.w.R0P.share30</t>
        </is>
      </c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</row>
    <row r="35">
      <c r="A35" s="19" t="inlineStr">
        <is>
          <t>D-048</t>
        </is>
      </c>
      <c r="B35" s="7" t="inlineStr">
        <is>
          <t>OVERALL</t>
        </is>
      </c>
      <c r="C35" s="7" t="inlineStr">
        <is>
          <t>All criteria above pass</t>
        </is>
      </c>
      <c r="D35" s="7" t="n"/>
      <c r="E35" s="7" t="n"/>
      <c r="F35" s="7" t="n"/>
      <c r="G35" s="20">
        <f>IF(COUNTIF(G5:G8,"FAIL*")=0,"PASSED","FAILED")</f>
        <v/>
      </c>
      <c r="H35" s="7">
        <f>Sources!$C$296</f>
        <v/>
      </c>
      <c r="I35" s="7" t="n"/>
      <c r="J35" s="7" t="inlineStr">
        <is>
          <t>Not met → incumbent retained; outer folds not opened</t>
        </is>
      </c>
      <c r="K35" s="7" t="n"/>
    </row>
    <row r="36">
      <c r="A36" s="19" t="inlineStr">
        <is>
          <t>D-049</t>
        </is>
      </c>
      <c r="B36" s="7" t="inlineStr">
        <is>
          <t>OVERALL</t>
        </is>
      </c>
      <c r="C36" s="7" t="inlineStr">
        <is>
          <t>Any arm passes its gate → that arm qualifies</t>
        </is>
      </c>
      <c r="D36" s="7" t="n"/>
      <c r="E36" s="7" t="n"/>
      <c r="F36" s="7" t="n"/>
      <c r="G36" s="20">
        <f>IF(COUNTIF(G9:G11,"PASS")&gt;0,"PASSED","FAILED")</f>
        <v/>
      </c>
      <c r="H36" s="7" t="n"/>
      <c r="I36" s="7" t="n"/>
      <c r="J36" s="7" t="inlineStr">
        <is>
          <t>No arm met the gate; B0 retained; outer folds not opened</t>
        </is>
      </c>
      <c r="K36" s="7" t="n"/>
    </row>
    <row r="37">
      <c r="A37" s="19" t="inlineStr">
        <is>
          <t>D-050</t>
        </is>
      </c>
      <c r="B37" s="7" t="inlineStr">
        <is>
          <t>OVERALL</t>
        </is>
      </c>
      <c r="C37" s="7" t="inlineStr">
        <is>
          <t>Both adoption criteria → T adopted; else G kept</t>
        </is>
      </c>
      <c r="D37" s="7" t="n"/>
      <c r="E37" s="7" t="n"/>
      <c r="F37" s="7" t="n"/>
      <c r="G37" s="20">
        <f>IF(COUNTIF(G12:G13,"FAIL*")=0,"PASSED","FAILED")</f>
        <v/>
      </c>
      <c r="H37" s="7">
        <f>Sources!$C$323</f>
        <v/>
      </c>
      <c r="I37" s="7" t="n"/>
      <c r="J37" s="7" t="inlineStr">
        <is>
          <t>Saved choice G (served shape kept)</t>
        </is>
      </c>
      <c r="K37" s="7" t="n"/>
    </row>
    <row r="38">
      <c r="A38" s="19" t="inlineStr">
        <is>
          <t>D-051</t>
        </is>
      </c>
      <c r="B38" s="7" t="inlineStr">
        <is>
          <t>OVERALL</t>
        </is>
      </c>
      <c r="C38" s="7" t="inlineStr">
        <is>
          <t>All criteria above pass</t>
        </is>
      </c>
      <c r="D38" s="7" t="n"/>
      <c r="E38" s="7" t="n"/>
      <c r="F38" s="7" t="n"/>
      <c r="G38" s="20">
        <f>IF(COUNTIF(G14:G17,"FAIL*")=0,"PASSED","FAILED")</f>
        <v/>
      </c>
      <c r="H38" s="7">
        <f>Sources!$C$365</f>
        <v/>
      </c>
      <c r="I38" s="7" t="n"/>
      <c r="J38" s="7" t="inlineStr">
        <is>
          <t>Not adopted (small internal gain vs equally tuned C0 is not a release)</t>
        </is>
      </c>
      <c r="K38" s="7" t="n"/>
    </row>
    <row r="39">
      <c r="A39" s="19" t="inlineStr">
        <is>
          <t>D-052</t>
        </is>
      </c>
      <c r="B39" s="7" t="inlineStr">
        <is>
          <t>OVERALL</t>
        </is>
      </c>
      <c r="C39" s="7" t="inlineStr">
        <is>
          <t>All criteria above pass</t>
        </is>
      </c>
      <c r="D39" s="7" t="n"/>
      <c r="E39" s="7" t="n"/>
      <c r="F39" s="7" t="n"/>
      <c r="G39" s="20">
        <f>IF(COUNTIF(G18:G25,"FAIL*")=0,"PASSED","FAILED")</f>
        <v/>
      </c>
      <c r="H39" s="7">
        <f>Sources!$C$380</f>
        <v/>
      </c>
      <c r="I39" s="7" t="n"/>
      <c r="J39" s="7" t="inlineStr">
        <is>
          <t>Not adopted; serving unchanged</t>
        </is>
      </c>
      <c r="K39" s="7" t="n"/>
    </row>
    <row r="40">
      <c r="A40" s="19" t="inlineStr">
        <is>
          <t>D-053</t>
        </is>
      </c>
      <c r="B40" s="7" t="inlineStr">
        <is>
          <t>OVERALL</t>
        </is>
      </c>
      <c r="C40" s="7" t="inlineStr">
        <is>
          <t>All criteria above pass</t>
        </is>
      </c>
      <c r="D40" s="7" t="n"/>
      <c r="E40" s="7" t="n"/>
      <c r="F40" s="7" t="n"/>
      <c r="G40" s="20">
        <f>IF(COUNTIF(G26:G33,"FAIL*")=0,"PASSED","FAILED")</f>
        <v/>
      </c>
      <c r="H40" s="7">
        <f>Sources!$C$426</f>
        <v/>
      </c>
      <c r="I40" s="7" t="n"/>
      <c r="J40" s="7" t="inlineStr">
        <is>
          <t>Primary gate FAILED (high-target); operational passed; NOT ADOPTED</t>
        </is>
      </c>
      <c r="K40" s="7" t="n"/>
    </row>
    <row r="41">
      <c r="A41" s="7" t="inlineStr">
        <is>
          <t>D-053</t>
        </is>
      </c>
      <c r="B41" s="7" t="inlineStr">
        <is>
          <t>OPERATIONAL</t>
        </is>
      </c>
      <c r="C41" s="7" t="inlineStr">
        <is>
          <t>Operational criteria pass</t>
        </is>
      </c>
      <c r="D41" s="7" t="n"/>
      <c r="E41" s="7" t="n"/>
      <c r="F41" s="7" t="n"/>
      <c r="G41" s="7">
        <f>IF(COUNTIF(G31:G33,"FAIL*")=0,"PASSED","FAILED")</f>
        <v/>
      </c>
      <c r="H41" s="7">
        <f>Sources!$C$424</f>
        <v/>
      </c>
      <c r="I41" s="7" t="n"/>
      <c r="J41" s="7" t="n"/>
      <c r="K41" s="7" t="n"/>
    </row>
    <row r="42">
      <c r="A42" s="7" t="inlineStr">
        <is>
          <t>D-053</t>
        </is>
      </c>
      <c r="B42" s="7" t="inlineStr">
        <is>
          <t>PRIMARY</t>
        </is>
      </c>
      <c r="C42" s="7" t="inlineStr">
        <is>
          <t>Primary point criteria pass</t>
        </is>
      </c>
      <c r="D42" s="7" t="n"/>
      <c r="E42" s="7" t="n"/>
      <c r="F42" s="7" t="n"/>
      <c r="G42" s="7">
        <f>IF(COUNTIF(G26:G30,"FAIL*")=0,"PASSED","FAILED")</f>
        <v/>
      </c>
      <c r="H42" s="7">
        <f>Sources!$C$411</f>
        <v/>
      </c>
      <c r="I42" s="7" t="n"/>
      <c r="J42" s="7" t="n"/>
      <c r="K42" s="7" t="n"/>
    </row>
    <row r="43">
      <c r="A43" s="7" t="inlineStr">
        <is>
          <t>D-054</t>
        </is>
      </c>
      <c r="B43" s="7" t="inlineStr">
        <is>
          <t>—</t>
        </is>
      </c>
      <c r="C43" s="7" t="inlineStr">
        <is>
          <t>No adoption gate: descriptive research baseline (F1 residual reported, not selected)</t>
        </is>
      </c>
      <c r="D43" s="7" t="n"/>
      <c r="E43" s="7" t="n"/>
      <c r="F43" s="7" t="n"/>
      <c r="G43" s="7" t="inlineStr">
        <is>
          <t>not applicable</t>
        </is>
      </c>
      <c r="H43" s="7" t="n"/>
      <c r="I43" s="7" t="n"/>
      <c r="J43" s="7" t="n"/>
      <c r="K43" s="7" t="n"/>
    </row>
  </sheetData>
  <autoFilter ref="A4:K43"/>
  <hyperlinks>
    <hyperlink xmlns:r="http://schemas.openxmlformats.org/officeDocument/2006/relationships" ref="F1" r:id="rId1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Q56"/>
  <sheetViews>
    <sheetView showGridLines="1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34" customWidth="1" min="3" max="3"/>
    <col width="50" customWidth="1" min="4" max="4"/>
    <col width="14" customWidth="1" min="5" max="5"/>
    <col width="18" customWidth="1" min="6" max="6"/>
    <col width="18" customWidth="1" min="7" max="7"/>
    <col width="18" customWidth="1" min="8" max="8"/>
    <col width="6" customWidth="1" min="9" max="9"/>
    <col width="10" customWidth="1" min="10" max="10"/>
    <col width="8" customWidth="1" min="11" max="11"/>
    <col width="8" customWidth="1" min="12" max="12"/>
    <col width="8" customWidth="1" min="13" max="13"/>
    <col width="8" customWidth="1" min="14" max="14"/>
    <col width="40" customWidth="1" min="15" max="15"/>
    <col width="40" customWidth="1" min="16" max="16"/>
    <col width="40" customWidth="1" min="17" max="17"/>
  </cols>
  <sheetData>
    <row r="1">
      <c r="A1" s="1" t="inlineStr">
        <is>
          <t>Verification — what was run, where, and with what outcome</t>
        </is>
      </c>
      <c r="F1" s="2" t="inlineStr">
        <is>
          <t>← About / navigation</t>
        </is>
      </c>
    </row>
    <row r="2">
      <c r="A2" s="9" t="inlineStr">
        <is>
          <t>The latest full local matrix is dated to commit f073a10 (22 Oct); it is not a pass on any later revision. Rows marked author-reported have no saved log in the repository.</t>
        </is>
      </c>
    </row>
    <row r="4" ht="32" customHeight="1">
      <c r="A4" s="6" t="inlineStr">
        <is>
          <t>Evidence class</t>
        </is>
      </c>
      <c r="B4" s="6" t="inlineStr">
        <is>
          <t>Run</t>
        </is>
      </c>
      <c r="C4" s="6" t="inlineStr">
        <is>
          <t>Suite</t>
        </is>
      </c>
      <c r="D4" s="6" t="inlineStr">
        <is>
          <t>Command (repo-relative)</t>
        </is>
      </c>
      <c r="E4" s="6" t="inlineStr">
        <is>
          <t>Tested commit</t>
        </is>
      </c>
      <c r="F4" s="6" t="inlineStr">
        <is>
          <t>Data mode</t>
        </is>
      </c>
      <c r="G4" s="6" t="inlineStr">
        <is>
          <t>Start (UTC)</t>
        </is>
      </c>
      <c r="H4" s="6" t="inlineStr">
        <is>
          <t>End (UTC)</t>
        </is>
      </c>
      <c r="I4" s="6" t="inlineStr">
        <is>
          <t>Exit</t>
        </is>
      </c>
      <c r="J4" s="6" t="inlineStr">
        <is>
          <t>Status</t>
        </is>
      </c>
      <c r="K4" s="6" t="inlineStr">
        <is>
          <t>Total</t>
        </is>
      </c>
      <c r="L4" s="6" t="inlineStr">
        <is>
          <t>Passed</t>
        </is>
      </c>
      <c r="M4" s="6" t="inlineStr">
        <is>
          <t>Failed</t>
        </is>
      </c>
      <c r="N4" s="6" t="inlineStr">
        <is>
          <t>Skipped</t>
        </is>
      </c>
      <c r="O4" s="6" t="inlineStr">
        <is>
          <t>Skip reasons</t>
        </is>
      </c>
      <c r="P4" s="6" t="inlineStr">
        <is>
          <t>Log</t>
        </is>
      </c>
      <c r="Q4" s="6" t="inlineStr">
        <is>
          <t>JUnit</t>
        </is>
      </c>
    </row>
    <row r="5">
      <c r="A5" s="7" t="inlineStr">
        <is>
          <t>Saved local result (final)</t>
        </is>
      </c>
      <c r="B5" s="7" t="inlineStr">
        <is>
          <t>final_2026-10-22_145326Z</t>
        </is>
      </c>
      <c r="C5" s="7" t="inlineStr">
        <is>
          <t>backend pytest (complete)</t>
        </is>
      </c>
      <c r="D5" s="7" t="inlineStr">
        <is>
          <t>uv run pytest -q --junitxml=reports/verification/final_2026-10-22_145326Z/junit/pytest.xml</t>
        </is>
      </c>
      <c r="E5" s="7" t="inlineStr">
        <is>
          <t>f073a10f02</t>
        </is>
      </c>
      <c r="F5" s="7" t="inlineStr">
        <is>
          <t>local</t>
        </is>
      </c>
      <c r="G5" s="10" t="n">
        <v>46317.62322916667</v>
      </c>
      <c r="H5" s="10" t="n">
        <v>46317.62429398148</v>
      </c>
      <c r="I5" s="7" t="n">
        <v>0</v>
      </c>
      <c r="J5" s="7" t="inlineStr">
        <is>
          <t>passed</t>
        </is>
      </c>
      <c r="K5" s="7" t="n">
        <v>223</v>
      </c>
      <c r="L5" s="7" t="n">
        <v>221</v>
      </c>
      <c r="M5" s="7" t="n">
        <v>0</v>
      </c>
      <c r="N5" s="7" t="n">
        <v>2</v>
      </c>
      <c r="O5" s="7" t="inlineStr">
        <is>
          <t>could not import 'torch': No module named 'torch' (1); compared once, from the fusion side (1)</t>
        </is>
      </c>
      <c r="P5" s="7" t="inlineStr">
        <is>
          <t>reports/verification/final_2026-10-22_145326Z/logs/pytest.log</t>
        </is>
      </c>
      <c r="Q5" s="7" t="inlineStr">
        <is>
          <t>reports/verification/final_2026-10-22_145326Z/junit/pytest.xml</t>
        </is>
      </c>
    </row>
    <row r="6">
      <c r="A6" s="7" t="inlineStr">
        <is>
          <t>Saved local result (final)</t>
        </is>
      </c>
      <c r="B6" s="7" t="inlineStr">
        <is>
          <t>final_2026-10-22_145326Z</t>
        </is>
      </c>
      <c r="C6" s="7" t="inlineStr">
        <is>
          <t>python lint (ruff; untracked private audit folder excluded)</t>
        </is>
      </c>
      <c r="D6" s="7" t="inlineStr">
        <is>
          <t>uv run ruff check --extend-exclude reports/overnight_codex .</t>
        </is>
      </c>
      <c r="E6" s="7" t="inlineStr">
        <is>
          <t>f073a10f02</t>
        </is>
      </c>
      <c r="F6" s="7" t="inlineStr">
        <is>
          <t>local</t>
        </is>
      </c>
      <c r="G6" s="10" t="n">
        <v>46317.62429398148</v>
      </c>
      <c r="H6" s="10" t="n">
        <v>46317.62429398148</v>
      </c>
      <c r="I6" s="7" t="n">
        <v>0</v>
      </c>
      <c r="J6" s="7" t="inlineStr">
        <is>
          <t>passed</t>
        </is>
      </c>
      <c r="K6" s="7" t="inlineStr">
        <is>
          <t>—</t>
        </is>
      </c>
      <c r="L6" s="7" t="inlineStr">
        <is>
          <t>—</t>
        </is>
      </c>
      <c r="M6" s="7" t="inlineStr">
        <is>
          <t>—</t>
        </is>
      </c>
      <c r="N6" s="7" t="inlineStr">
        <is>
          <t>—</t>
        </is>
      </c>
      <c r="O6" s="7" t="inlineStr"/>
      <c r="P6" s="7" t="inlineStr">
        <is>
          <t>reports/verification/final_2026-10-22_145326Z/logs/ruff.log</t>
        </is>
      </c>
      <c r="Q6" s="7" t="inlineStr"/>
    </row>
    <row r="7">
      <c r="A7" s="7" t="inlineStr">
        <is>
          <t>Saved local result (final)</t>
        </is>
      </c>
      <c r="B7" s="7" t="inlineStr">
        <is>
          <t>final_2026-10-22_145326Z</t>
        </is>
      </c>
      <c r="C7" s="7" t="inlineStr">
        <is>
          <t>frontend typecheck</t>
        </is>
      </c>
      <c r="D7" s="7" t="inlineStr">
        <is>
          <t>npm run typecheck</t>
        </is>
      </c>
      <c r="E7" s="7" t="inlineStr">
        <is>
          <t>f073a10f02</t>
        </is>
      </c>
      <c r="F7" s="7" t="inlineStr">
        <is>
          <t>local</t>
        </is>
      </c>
      <c r="G7" s="10" t="n">
        <v>46317.62429398148</v>
      </c>
      <c r="H7" s="10" t="n">
        <v>46317.62432870371</v>
      </c>
      <c r="I7" s="7" t="n">
        <v>0</v>
      </c>
      <c r="J7" s="7" t="inlineStr">
        <is>
          <t>passed</t>
        </is>
      </c>
      <c r="K7" s="7" t="inlineStr">
        <is>
          <t>—</t>
        </is>
      </c>
      <c r="L7" s="7" t="inlineStr">
        <is>
          <t>—</t>
        </is>
      </c>
      <c r="M7" s="7" t="inlineStr">
        <is>
          <t>—</t>
        </is>
      </c>
      <c r="N7" s="7" t="inlineStr">
        <is>
          <t>—</t>
        </is>
      </c>
      <c r="O7" s="7" t="inlineStr"/>
      <c r="P7" s="7" t="inlineStr">
        <is>
          <t>reports/verification/final_2026-10-22_145326Z/logs/typecheck.log</t>
        </is>
      </c>
      <c r="Q7" s="7" t="inlineStr"/>
    </row>
    <row r="8">
      <c r="A8" s="7" t="inlineStr">
        <is>
          <t>Saved local result (final)</t>
        </is>
      </c>
      <c r="B8" s="7" t="inlineStr">
        <is>
          <t>final_2026-10-22_145326Z</t>
        </is>
      </c>
      <c r="C8" s="7" t="inlineStr">
        <is>
          <t>frontend unit (vitest)</t>
        </is>
      </c>
      <c r="D8" s="7" t="inlineStr">
        <is>
          <t>npm test -- --reporter=default --reporter=junit --outputFile.junit=reports/verification/final_2026-10-22_145326Z/junit/vitest.xml</t>
        </is>
      </c>
      <c r="E8" s="7" t="inlineStr">
        <is>
          <t>f073a10f02</t>
        </is>
      </c>
      <c r="F8" s="7" t="inlineStr">
        <is>
          <t>local</t>
        </is>
      </c>
      <c r="G8" s="10" t="n">
        <v>46317.62432870371</v>
      </c>
      <c r="H8" s="10" t="n">
        <v>46317.62435185185</v>
      </c>
      <c r="I8" s="7" t="n">
        <v>0</v>
      </c>
      <c r="J8" s="7" t="inlineStr">
        <is>
          <t>passed</t>
        </is>
      </c>
      <c r="K8" s="7" t="n">
        <v>141</v>
      </c>
      <c r="L8" s="7" t="n">
        <v>141</v>
      </c>
      <c r="M8" s="7" t="n">
        <v>0</v>
      </c>
      <c r="N8" s="7" t="n">
        <v>0</v>
      </c>
      <c r="O8" s="7" t="inlineStr"/>
      <c r="P8" s="7" t="inlineStr">
        <is>
          <t>reports/verification/final_2026-10-22_145326Z/logs/vitest.log</t>
        </is>
      </c>
      <c r="Q8" s="7" t="inlineStr">
        <is>
          <t>reports/verification/final_2026-10-22_145326Z/junit/vitest.xml</t>
        </is>
      </c>
    </row>
    <row r="9">
      <c r="A9" s="7" t="inlineStr">
        <is>
          <t>Saved local result (final)</t>
        </is>
      </c>
      <c r="B9" s="7" t="inlineStr">
        <is>
          <t>final_2026-10-22_145326Z</t>
        </is>
      </c>
      <c r="C9" s="7" t="inlineStr">
        <is>
          <t>frontend production build</t>
        </is>
      </c>
      <c r="D9" s="7" t="inlineStr">
        <is>
          <t>npm run build</t>
        </is>
      </c>
      <c r="E9" s="7" t="inlineStr">
        <is>
          <t>f073a10f02</t>
        </is>
      </c>
      <c r="F9" s="7" t="inlineStr">
        <is>
          <t>local</t>
        </is>
      </c>
      <c r="G9" s="10" t="n">
        <v>46317.62435185185</v>
      </c>
      <c r="H9" s="10" t="n">
        <v>46317.62438657408</v>
      </c>
      <c r="I9" s="7" t="n">
        <v>0</v>
      </c>
      <c r="J9" s="7" t="inlineStr">
        <is>
          <t>passed</t>
        </is>
      </c>
      <c r="K9" s="7" t="inlineStr">
        <is>
          <t>—</t>
        </is>
      </c>
      <c r="L9" s="7" t="inlineStr">
        <is>
          <t>—</t>
        </is>
      </c>
      <c r="M9" s="7" t="inlineStr">
        <is>
          <t>—</t>
        </is>
      </c>
      <c r="N9" s="7" t="inlineStr">
        <is>
          <t>—</t>
        </is>
      </c>
      <c r="O9" s="7" t="inlineStr"/>
      <c r="P9" s="7" t="inlineStr">
        <is>
          <t>reports/verification/final_2026-10-22_145326Z/logs/build.log</t>
        </is>
      </c>
      <c r="Q9" s="7" t="inlineStr"/>
    </row>
    <row r="10">
      <c r="A10" s="7" t="inlineStr">
        <is>
          <t>Saved local result (final)</t>
        </is>
      </c>
      <c r="B10" s="7" t="inlineStr">
        <is>
          <t>final_2026-10-22_145326Z</t>
        </is>
      </c>
      <c r="C10" s="7" t="inlineStr">
        <is>
          <t>e2e normal + recorded judge journeys</t>
        </is>
      </c>
      <c r="D10" s="7" t="inlineStr">
        <is>
          <t>npm run e2e -- --workers=1 --reporter=list,junit --output=&lt;scratch&gt;/final/pw/e2e</t>
        </is>
      </c>
      <c r="E10" s="7" t="inlineStr">
        <is>
          <t>f073a10f02</t>
        </is>
      </c>
      <c r="F10" s="7" t="inlineStr">
        <is>
          <t>recorded data</t>
        </is>
      </c>
      <c r="G10" s="10" t="n">
        <v>46317.62438657408</v>
      </c>
      <c r="H10" s="10" t="n">
        <v>46317.62572916667</v>
      </c>
      <c r="I10" s="7" t="n">
        <v>0</v>
      </c>
      <c r="J10" s="7" t="inlineStr">
        <is>
          <t>passed</t>
        </is>
      </c>
      <c r="K10" s="7" t="n">
        <v>29</v>
      </c>
      <c r="L10" s="7" t="n">
        <v>29</v>
      </c>
      <c r="M10" s="7" t="n">
        <v>0</v>
      </c>
      <c r="N10" s="7" t="n">
        <v>0</v>
      </c>
      <c r="O10" s="7" t="inlineStr"/>
      <c r="P10" s="7" t="inlineStr">
        <is>
          <t>reports/verification/final_2026-10-22_145326Z/logs/e2e.log</t>
        </is>
      </c>
      <c r="Q10" s="7" t="inlineStr">
        <is>
          <t>reports/verification/final_2026-10-22_145326Z/junit/e2e.xml</t>
        </is>
      </c>
    </row>
    <row r="11">
      <c r="A11" s="7" t="inlineStr">
        <is>
          <t>Saved local result (final)</t>
        </is>
      </c>
      <c r="B11" s="7" t="inlineStr">
        <is>
          <t>final_2026-10-22_145326Z</t>
        </is>
      </c>
      <c r="C11" s="7" t="inlineStr">
        <is>
          <t>e2e public mode (local, synthetic)</t>
        </is>
      </c>
      <c r="D11" s="7" t="inlineStr">
        <is>
          <t>npx playwright test --config playwright.public.config.ts --workers=1 --reporter=list,junit --output=&lt;scratch&gt;/final/pw/public</t>
        </is>
      </c>
      <c r="E11" s="7" t="inlineStr">
        <is>
          <t>f073a10f02</t>
        </is>
      </c>
      <c r="F11" s="7" t="inlineStr">
        <is>
          <t>synthetic</t>
        </is>
      </c>
      <c r="G11" s="10" t="n">
        <v>46317.62572916667</v>
      </c>
      <c r="H11" s="10" t="n">
        <v>46317.62583333333</v>
      </c>
      <c r="I11" s="7" t="n">
        <v>0</v>
      </c>
      <c r="J11" s="7" t="inlineStr">
        <is>
          <t>passed</t>
        </is>
      </c>
      <c r="K11" s="7" t="n">
        <v>4</v>
      </c>
      <c r="L11" s="7" t="n">
        <v>4</v>
      </c>
      <c r="M11" s="7" t="n">
        <v>0</v>
      </c>
      <c r="N11" s="7" t="n">
        <v>0</v>
      </c>
      <c r="O11" s="7" t="inlineStr"/>
      <c r="P11" s="7" t="inlineStr">
        <is>
          <t>reports/verification/final_2026-10-22_145326Z/logs/e2e-public.log</t>
        </is>
      </c>
      <c r="Q11" s="7" t="inlineStr">
        <is>
          <t>reports/verification/final_2026-10-22_145326Z/junit/e2e-public.xml</t>
        </is>
      </c>
    </row>
    <row r="12">
      <c r="A12" s="7" t="inlineStr">
        <is>
          <t>Saved local result (final)</t>
        </is>
      </c>
      <c r="B12" s="7" t="inlineStr">
        <is>
          <t>final_2026-10-22_145326Z</t>
        </is>
      </c>
      <c r="C12" s="7" t="inlineStr">
        <is>
          <t>e2e summary/export</t>
        </is>
      </c>
      <c r="D12" s="7" t="inlineStr">
        <is>
          <t>npx playwright test --config playwright.summary.config.ts --workers=1 --reporter=list,junit --output=&lt;scratch&gt;/final/pw/summary</t>
        </is>
      </c>
      <c r="E12" s="7" t="inlineStr">
        <is>
          <t>f073a10f02</t>
        </is>
      </c>
      <c r="F12" s="7" t="inlineStr">
        <is>
          <t>local</t>
        </is>
      </c>
      <c r="G12" s="10" t="n">
        <v>46317.62583333333</v>
      </c>
      <c r="H12" s="10" t="n">
        <v>46317.62606481482</v>
      </c>
      <c r="I12" s="7" t="n">
        <v>0</v>
      </c>
      <c r="J12" s="7" t="inlineStr">
        <is>
          <t>passed</t>
        </is>
      </c>
      <c r="K12" s="7" t="n">
        <v>3</v>
      </c>
      <c r="L12" s="7" t="n">
        <v>3</v>
      </c>
      <c r="M12" s="7" t="n">
        <v>0</v>
      </c>
      <c r="N12" s="7" t="n">
        <v>0</v>
      </c>
      <c r="O12" s="7" t="inlineStr"/>
      <c r="P12" s="7" t="inlineStr">
        <is>
          <t>reports/verification/final_2026-10-22_145326Z/logs/e2e-summary.log</t>
        </is>
      </c>
      <c r="Q12" s="7" t="inlineStr">
        <is>
          <t>reports/verification/final_2026-10-22_145326Z/junit/e2e-summary.xml</t>
        </is>
      </c>
    </row>
    <row r="13">
      <c r="A13" s="7" t="inlineStr">
        <is>
          <t>Saved local result (final)</t>
        </is>
      </c>
      <c r="B13" s="7" t="inlineStr">
        <is>
          <t>final_2026-10-22_145326Z</t>
        </is>
      </c>
      <c r="C13" s="7" t="inlineStr">
        <is>
          <t>selected-claim consistency (evidence manifest)</t>
        </is>
      </c>
      <c r="D13" s="7" t="inlineStr">
        <is>
          <t>uv run python scripts/evidence_manifest.py</t>
        </is>
      </c>
      <c r="E13" s="7" t="inlineStr">
        <is>
          <t>f073a10f02</t>
        </is>
      </c>
      <c r="F13" s="7" t="inlineStr">
        <is>
          <t>local</t>
        </is>
      </c>
      <c r="G13" s="10" t="n">
        <v>46317.62606481482</v>
      </c>
      <c r="H13" s="10" t="n">
        <v>46317.62607638889</v>
      </c>
      <c r="I13" s="7" t="n">
        <v>0</v>
      </c>
      <c r="J13" s="7" t="inlineStr">
        <is>
          <t>passed</t>
        </is>
      </c>
      <c r="K13" s="7" t="inlineStr">
        <is>
          <t>—</t>
        </is>
      </c>
      <c r="L13" s="7" t="inlineStr">
        <is>
          <t>—</t>
        </is>
      </c>
      <c r="M13" s="7" t="inlineStr">
        <is>
          <t>—</t>
        </is>
      </c>
      <c r="N13" s="7" t="inlineStr">
        <is>
          <t>—</t>
        </is>
      </c>
      <c r="O13" s="7" t="inlineStr"/>
      <c r="P13" s="7" t="inlineStr">
        <is>
          <t>reports/verification/final_2026-10-22_145326Z/logs/evidence_manifest.log</t>
        </is>
      </c>
      <c r="Q13" s="7" t="inlineStr"/>
    </row>
    <row r="14">
      <c r="A14" s="7" t="inlineStr">
        <is>
          <t>Saved local result (final)</t>
        </is>
      </c>
      <c r="B14" s="7" t="inlineStr">
        <is>
          <t>final_2026-10-22_145326Z</t>
        </is>
      </c>
      <c r="C14" s="7" t="inlineStr">
        <is>
          <t>README/submission consistency</t>
        </is>
      </c>
      <c r="D14" s="7" t="inlineStr">
        <is>
          <t>uv run python scripts/check_submission.py</t>
        </is>
      </c>
      <c r="E14" s="7" t="inlineStr">
        <is>
          <t>f073a10f02</t>
        </is>
      </c>
      <c r="F14" s="7" t="inlineStr">
        <is>
          <t>local</t>
        </is>
      </c>
      <c r="G14" s="10" t="n">
        <v>46317.62607638889</v>
      </c>
      <c r="H14" s="10" t="n">
        <v>46317.62609953704</v>
      </c>
      <c r="I14" s="7" t="n">
        <v>0</v>
      </c>
      <c r="J14" s="7" t="inlineStr">
        <is>
          <t>passed</t>
        </is>
      </c>
      <c r="K14" s="7" t="inlineStr">
        <is>
          <t>—</t>
        </is>
      </c>
      <c r="L14" s="7" t="inlineStr">
        <is>
          <t>—</t>
        </is>
      </c>
      <c r="M14" s="7" t="inlineStr">
        <is>
          <t>—</t>
        </is>
      </c>
      <c r="N14" s="7" t="inlineStr">
        <is>
          <t>—</t>
        </is>
      </c>
      <c r="O14" s="7" t="inlineStr"/>
      <c r="P14" s="7" t="inlineStr">
        <is>
          <t>reports/verification/final_2026-10-22_145326Z/logs/check_submission.log</t>
        </is>
      </c>
      <c r="Q14" s="7" t="inlineStr"/>
    </row>
    <row r="15">
      <c r="A15" s="7" t="inlineStr">
        <is>
          <t>Saved local result (final)</t>
        </is>
      </c>
      <c r="B15" s="7" t="inlineStr">
        <is>
          <t>final_2026-10-22_145326Z</t>
        </is>
      </c>
      <c r="C15" s="7" t="inlineStr">
        <is>
          <t>D-053 runner validate (read-only, saved artifacts)</t>
        </is>
      </c>
      <c r="D15" s="7" t="inlineStr">
        <is>
          <t>uv run python scripts/constrained_study.py validate</t>
        </is>
      </c>
      <c r="E15" s="7" t="inlineStr">
        <is>
          <t>f073a10f02</t>
        </is>
      </c>
      <c r="F15" s="7" t="inlineStr">
        <is>
          <t>local</t>
        </is>
      </c>
      <c r="G15" s="10" t="n">
        <v>46317.62609953704</v>
      </c>
      <c r="H15" s="10" t="n">
        <v>46317.62611111111</v>
      </c>
      <c r="I15" s="7" t="n">
        <v>0</v>
      </c>
      <c r="J15" s="7" t="inlineStr">
        <is>
          <t>passed</t>
        </is>
      </c>
      <c r="K15" s="7" t="inlineStr">
        <is>
          <t>—</t>
        </is>
      </c>
      <c r="L15" s="7" t="inlineStr">
        <is>
          <t>—</t>
        </is>
      </c>
      <c r="M15" s="7" t="inlineStr">
        <is>
          <t>—</t>
        </is>
      </c>
      <c r="N15" s="7" t="inlineStr">
        <is>
          <t>—</t>
        </is>
      </c>
      <c r="O15" s="7" t="inlineStr"/>
      <c r="P15" s="7" t="inlineStr">
        <is>
          <t>reports/verification/final_2026-10-22_145326Z/logs/constrained_validate.log</t>
        </is>
      </c>
      <c r="Q15" s="7" t="inlineStr"/>
    </row>
    <row r="16">
      <c r="A16" s="7" t="inlineStr">
        <is>
          <t>Saved local result (final)</t>
        </is>
      </c>
      <c r="B16" s="7" t="inlineStr">
        <is>
          <t>final_2026-10-22_145326Z</t>
        </is>
      </c>
      <c r="C16" s="7" t="inlineStr">
        <is>
          <t>serving parity: registered incumbent, new output path</t>
        </is>
      </c>
      <c r="D16" s="7" t="inlineStr">
        <is>
          <t>uv run python scripts/serving_parity.py --output reports/verification/final_2026-10-22_145326Z/parity/serving_parity.json --detail-output &lt;scratch&gt;/final/parity/serving_parity_detail.json</t>
        </is>
      </c>
      <c r="E16" s="7" t="inlineStr">
        <is>
          <t>f073a10f02</t>
        </is>
      </c>
      <c r="F16" s="7" t="inlineStr">
        <is>
          <t>recorded data</t>
        </is>
      </c>
      <c r="G16" s="10" t="n">
        <v>46317.62611111111</v>
      </c>
      <c r="H16" s="10" t="n">
        <v>46317.6265162037</v>
      </c>
      <c r="I16" s="7" t="n">
        <v>0</v>
      </c>
      <c r="J16" s="7" t="inlineStr">
        <is>
          <t>passed</t>
        </is>
      </c>
      <c r="K16" s="7" t="inlineStr">
        <is>
          <t>—</t>
        </is>
      </c>
      <c r="L16" s="7" t="inlineStr">
        <is>
          <t>—</t>
        </is>
      </c>
      <c r="M16" s="7" t="inlineStr">
        <is>
          <t>—</t>
        </is>
      </c>
      <c r="N16" s="7" t="inlineStr">
        <is>
          <t>—</t>
        </is>
      </c>
      <c r="O16" s="7" t="inlineStr"/>
      <c r="P16" s="7" t="inlineStr">
        <is>
          <t>reports/verification/final_2026-10-22_145326Z/logs/parity.log</t>
        </is>
      </c>
      <c r="Q16" s="7" t="inlineStr"/>
    </row>
    <row r="17">
      <c r="A17" s="7" t="inlineStr">
        <is>
          <t>Saved local result (parity)</t>
        </is>
      </c>
      <c r="B17" s="7" t="inlineStr">
        <is>
          <t>reports/serving_parity.json</t>
        </is>
      </c>
      <c r="C17" s="7" t="inlineStr">
        <is>
          <t>App replay vs saved offline test forecasts</t>
        </is>
      </c>
      <c r="D17" s="7" t="inlineStr">
        <is>
          <t>uv run python scripts/serving_parity.py</t>
        </is>
      </c>
      <c r="E17" s="7" t="inlineStr">
        <is>
          <t>—</t>
        </is>
      </c>
      <c r="F17" s="7" t="inlineStr">
        <is>
          <t>recorded data</t>
        </is>
      </c>
      <c r="G17" s="7" t="n"/>
      <c r="H17" s="7" t="n"/>
      <c r="I17" s="7" t="inlineStr">
        <is>
          <t>—</t>
        </is>
      </c>
      <c r="J17" s="7">
        <f>Sources!$C$180</f>
        <v/>
      </c>
      <c r="K17" s="7">
        <f>Sources!$C$174</f>
        <v/>
      </c>
      <c r="L17" s="7">
        <f>Sources!$C$173</f>
        <v/>
      </c>
      <c r="M17" s="7">
        <f>Sources!$C$176</f>
        <v/>
      </c>
      <c r="N17" s="7" t="inlineStr">
        <is>
          <t>—</t>
        </is>
      </c>
      <c r="O17" s="7" t="inlineStr">
        <is>
          <t>tolerance 0.05 mg/dL (API displays 0.1 mg/dL)</t>
        </is>
      </c>
      <c r="P17" s="7" t="inlineStr">
        <is>
          <t>reports/serving_parity.json</t>
        </is>
      </c>
      <c r="Q17" s="7" t="inlineStr">
        <is>
          <t>—</t>
        </is>
      </c>
    </row>
    <row r="18">
      <c r="A18" s="7" t="inlineStr">
        <is>
          <t>Saved local result (parity)</t>
        </is>
      </c>
      <c r="B18" s="7" t="inlineStr">
        <is>
          <t>final ledger parity copy</t>
        </is>
      </c>
      <c r="C18" s="7" t="inlineStr">
        <is>
          <t>App replay vs saved offline test forecasts</t>
        </is>
      </c>
      <c r="D18" s="7" t="inlineStr">
        <is>
          <t>uv run python scripts/serving_parity.py</t>
        </is>
      </c>
      <c r="E18" s="7" t="inlineStr">
        <is>
          <t>—</t>
        </is>
      </c>
      <c r="F18" s="7" t="inlineStr">
        <is>
          <t>recorded data</t>
        </is>
      </c>
      <c r="G18" s="7" t="n"/>
      <c r="H18" s="7" t="n"/>
      <c r="I18" s="7" t="inlineStr">
        <is>
          <t>—</t>
        </is>
      </c>
      <c r="J18" s="7">
        <f>Sources!$C$189</f>
        <v/>
      </c>
      <c r="K18" s="7">
        <f>Sources!$C$183</f>
        <v/>
      </c>
      <c r="L18" s="7">
        <f>Sources!$C$182</f>
        <v/>
      </c>
      <c r="M18" s="7">
        <f>Sources!$C$185</f>
        <v/>
      </c>
      <c r="N18" s="7" t="inlineStr">
        <is>
          <t>—</t>
        </is>
      </c>
      <c r="O18" s="7" t="inlineStr">
        <is>
          <t>tolerance 0.05 mg/dL (API displays 0.1 mg/dL)</t>
        </is>
      </c>
      <c r="P18" s="7" t="inlineStr">
        <is>
          <t>reports/verification/final_2026-10-22_145326Z/parity/serving_parity.json</t>
        </is>
      </c>
      <c r="Q18" s="7" t="inlineStr">
        <is>
          <t>—</t>
        </is>
      </c>
    </row>
    <row r="19">
      <c r="A19" s="7" t="inlineStr">
        <is>
          <t>History (earlier ledger; failures preserved)</t>
        </is>
      </c>
      <c r="B19" s="7" t="inlineStr">
        <is>
          <t>overnight</t>
        </is>
      </c>
      <c r="C19" s="7" t="inlineStr">
        <is>
          <t>python lint</t>
        </is>
      </c>
      <c r="D19" s="7" t="inlineStr">
        <is>
          <t>uv run ruff check .</t>
        </is>
      </c>
      <c r="E19" s="7" t="inlineStr">
        <is>
          <t>fd87ca2746</t>
        </is>
      </c>
      <c r="F19" s="7" t="inlineStr">
        <is>
          <t>local</t>
        </is>
      </c>
      <c r="G19" s="10" t="n">
        <v>46316.66887731481</v>
      </c>
      <c r="H19" s="10" t="n">
        <v>46316.66887731481</v>
      </c>
      <c r="I19" s="7" t="n">
        <v>0</v>
      </c>
      <c r="J19" s="7" t="inlineStr">
        <is>
          <t>passed</t>
        </is>
      </c>
      <c r="K19" s="7" t="inlineStr">
        <is>
          <t>—</t>
        </is>
      </c>
      <c r="L19" s="7" t="inlineStr">
        <is>
          <t>—</t>
        </is>
      </c>
      <c r="M19" s="7" t="inlineStr">
        <is>
          <t>—</t>
        </is>
      </c>
      <c r="N19" s="7" t="inlineStr">
        <is>
          <t>—</t>
        </is>
      </c>
      <c r="O19" s="7" t="inlineStr"/>
      <c r="P19" s="7" t="inlineStr">
        <is>
          <t>reports/verification/overnight/baseline/logs/ruff.log</t>
        </is>
      </c>
      <c r="Q19" s="7" t="inlineStr"/>
    </row>
    <row r="20">
      <c r="A20" s="7" t="inlineStr">
        <is>
          <t>History (earlier ledger; failures preserved)</t>
        </is>
      </c>
      <c r="B20" s="7" t="inlineStr">
        <is>
          <t>overnight</t>
        </is>
      </c>
      <c r="C20" s="7" t="inlineStr">
        <is>
          <t>backend pytest (complete)</t>
        </is>
      </c>
      <c r="D20" s="7" t="inlineStr">
        <is>
          <t>uv run pytest -q --junitxml=.claude/worktrees/qa/reports/verification/overnight/baseline/junit/pytest.xml</t>
        </is>
      </c>
      <c r="E20" s="7" t="inlineStr">
        <is>
          <t>fd87ca2746</t>
        </is>
      </c>
      <c r="F20" s="7" t="inlineStr">
        <is>
          <t>local</t>
        </is>
      </c>
      <c r="G20" s="10" t="n">
        <v>46316.66887731481</v>
      </c>
      <c r="H20" s="10" t="n">
        <v>46316.67015046296</v>
      </c>
      <c r="I20" s="7" t="n">
        <v>0</v>
      </c>
      <c r="J20" s="7" t="inlineStr">
        <is>
          <t>passed</t>
        </is>
      </c>
      <c r="K20" s="7" t="n">
        <v>148</v>
      </c>
      <c r="L20" s="7" t="n">
        <v>147</v>
      </c>
      <c r="M20" s="7" t="n">
        <v>0</v>
      </c>
      <c r="N20" s="7" t="n">
        <v>1</v>
      </c>
      <c r="O20" s="7" t="inlineStr">
        <is>
          <t>compared once, from the fusion side (1)</t>
        </is>
      </c>
      <c r="P20" s="7" t="inlineStr">
        <is>
          <t>reports/verification/overnight/baseline/logs/pytest.log</t>
        </is>
      </c>
      <c r="Q20" s="7" t="inlineStr">
        <is>
          <t>reports/verification/overnight/baseline/junit/pytest.xml</t>
        </is>
      </c>
    </row>
    <row r="21">
      <c r="A21" s="7" t="inlineStr">
        <is>
          <t>History (earlier ledger; failures preserved)</t>
        </is>
      </c>
      <c r="B21" s="7" t="inlineStr">
        <is>
          <t>overnight</t>
        </is>
      </c>
      <c r="C21" s="7" t="inlineStr">
        <is>
          <t>frontend typecheck</t>
        </is>
      </c>
      <c r="D21" s="7" t="inlineStr">
        <is>
          <t>npm run typecheck</t>
        </is>
      </c>
      <c r="E21" s="7" t="inlineStr">
        <is>
          <t>fd87ca2746</t>
        </is>
      </c>
      <c r="F21" s="7" t="inlineStr">
        <is>
          <t>local</t>
        </is>
      </c>
      <c r="G21" s="10" t="n">
        <v>46316.67015046296</v>
      </c>
      <c r="H21" s="10" t="n">
        <v>46316.67018518518</v>
      </c>
      <c r="I21" s="7" t="n">
        <v>0</v>
      </c>
      <c r="J21" s="7" t="inlineStr">
        <is>
          <t>passed</t>
        </is>
      </c>
      <c r="K21" s="7" t="inlineStr">
        <is>
          <t>—</t>
        </is>
      </c>
      <c r="L21" s="7" t="inlineStr">
        <is>
          <t>—</t>
        </is>
      </c>
      <c r="M21" s="7" t="inlineStr">
        <is>
          <t>—</t>
        </is>
      </c>
      <c r="N21" s="7" t="inlineStr">
        <is>
          <t>—</t>
        </is>
      </c>
      <c r="O21" s="7" t="inlineStr"/>
      <c r="P21" s="7" t="inlineStr">
        <is>
          <t>reports/verification/overnight/baseline/logs/typecheck.log</t>
        </is>
      </c>
      <c r="Q21" s="7" t="inlineStr"/>
    </row>
    <row r="22">
      <c r="A22" s="7" t="inlineStr">
        <is>
          <t>History (earlier ledger; failures preserved)</t>
        </is>
      </c>
      <c r="B22" s="7" t="inlineStr">
        <is>
          <t>overnight</t>
        </is>
      </c>
      <c r="C22" s="7" t="inlineStr">
        <is>
          <t>frontend unit (vitest)</t>
        </is>
      </c>
      <c r="D22" s="7" t="inlineStr">
        <is>
          <t>npm test -- --reporter=default --reporter=junit --outputFile.junit=.claude/worktrees/qa/reports/verification/overnight/baseline/junit/vitest.xml</t>
        </is>
      </c>
      <c r="E22" s="7" t="inlineStr">
        <is>
          <t>fd87ca2746</t>
        </is>
      </c>
      <c r="F22" s="7" t="inlineStr">
        <is>
          <t>local</t>
        </is>
      </c>
      <c r="G22" s="10" t="n">
        <v>46316.67018518518</v>
      </c>
      <c r="H22" s="10" t="n">
        <v>46316.67021990741</v>
      </c>
      <c r="I22" s="7" t="n">
        <v>0</v>
      </c>
      <c r="J22" s="7" t="inlineStr">
        <is>
          <t>passed</t>
        </is>
      </c>
      <c r="K22" s="7" t="n">
        <v>131</v>
      </c>
      <c r="L22" s="7" t="n">
        <v>131</v>
      </c>
      <c r="M22" s="7" t="n">
        <v>0</v>
      </c>
      <c r="N22" s="7" t="n">
        <v>0</v>
      </c>
      <c r="O22" s="7" t="inlineStr"/>
      <c r="P22" s="7" t="inlineStr">
        <is>
          <t>reports/verification/overnight/baseline/logs/vitest.log</t>
        </is>
      </c>
      <c r="Q22" s="7" t="inlineStr">
        <is>
          <t>reports/verification/overnight/baseline/junit/vitest.xml</t>
        </is>
      </c>
    </row>
    <row r="23">
      <c r="A23" s="7" t="inlineStr">
        <is>
          <t>History (earlier ledger; failures preserved)</t>
        </is>
      </c>
      <c r="B23" s="7" t="inlineStr">
        <is>
          <t>overnight</t>
        </is>
      </c>
      <c r="C23" s="7" t="inlineStr">
        <is>
          <t>frontend production build</t>
        </is>
      </c>
      <c r="D23" s="7" t="inlineStr">
        <is>
          <t>npm run build</t>
        </is>
      </c>
      <c r="E23" s="7" t="inlineStr">
        <is>
          <t>fd87ca2746</t>
        </is>
      </c>
      <c r="F23" s="7" t="inlineStr">
        <is>
          <t>local</t>
        </is>
      </c>
      <c r="G23" s="10" t="n">
        <v>46316.67021990741</v>
      </c>
      <c r="H23" s="10" t="n">
        <v>46316.67026620371</v>
      </c>
      <c r="I23" s="7" t="n">
        <v>0</v>
      </c>
      <c r="J23" s="7" t="inlineStr">
        <is>
          <t>passed</t>
        </is>
      </c>
      <c r="K23" s="7" t="inlineStr">
        <is>
          <t>—</t>
        </is>
      </c>
      <c r="L23" s="7" t="inlineStr">
        <is>
          <t>—</t>
        </is>
      </c>
      <c r="M23" s="7" t="inlineStr">
        <is>
          <t>—</t>
        </is>
      </c>
      <c r="N23" s="7" t="inlineStr">
        <is>
          <t>—</t>
        </is>
      </c>
      <c r="O23" s="7" t="inlineStr"/>
      <c r="P23" s="7" t="inlineStr">
        <is>
          <t>reports/verification/overnight/baseline/logs/build.log</t>
        </is>
      </c>
      <c r="Q23" s="7" t="inlineStr"/>
    </row>
    <row r="24">
      <c r="A24" s="7" t="inlineStr">
        <is>
          <t>History (earlier ledger; failures preserved)</t>
        </is>
      </c>
      <c r="B24" s="7" t="inlineStr">
        <is>
          <t>overnight</t>
        </is>
      </c>
      <c r="C24" s="7" t="inlineStr">
        <is>
          <t>e2e normal + recorded judge journeys</t>
        </is>
      </c>
      <c r="D24" s="7" t="inlineStr">
        <is>
          <t>npm run e2e -- --reporter=list,junit</t>
        </is>
      </c>
      <c r="E24" s="7" t="inlineStr">
        <is>
          <t>fd87ca2746</t>
        </is>
      </c>
      <c r="F24" s="7" t="inlineStr">
        <is>
          <t>recorded data</t>
        </is>
      </c>
      <c r="G24" s="10" t="n">
        <v>46316.67026620371</v>
      </c>
      <c r="H24" s="10" t="n">
        <v>46316.67178240741</v>
      </c>
      <c r="I24" s="7" t="n">
        <v>1</v>
      </c>
      <c r="J24" s="7" t="inlineStr">
        <is>
          <t>failed</t>
        </is>
      </c>
      <c r="K24" s="7" t="n">
        <v>27</v>
      </c>
      <c r="L24" s="7" t="n">
        <v>26</v>
      </c>
      <c r="M24" s="7" t="n">
        <v>1</v>
      </c>
      <c r="N24" s="7" t="n">
        <v>0</v>
      </c>
      <c r="O24" s="7" t="inlineStr"/>
      <c r="P24" s="7" t="inlineStr">
        <is>
          <t>reports/verification/overnight/baseline/logs/e2e.log</t>
        </is>
      </c>
      <c r="Q24" s="7" t="inlineStr">
        <is>
          <t>reports/verification/overnight/baseline/junit/e2e.xml</t>
        </is>
      </c>
    </row>
    <row r="25">
      <c r="A25" s="7" t="inlineStr">
        <is>
          <t>History (earlier ledger; failures preserved)</t>
        </is>
      </c>
      <c r="B25" s="7" t="inlineStr">
        <is>
          <t>overnight</t>
        </is>
      </c>
      <c r="C25" s="7" t="inlineStr">
        <is>
          <t>e2e public mode (local, synthetic)</t>
        </is>
      </c>
      <c r="D25" s="7" t="inlineStr">
        <is>
          <t>npx playwright test --config playwright.public.config.ts --reporter=list,junit</t>
        </is>
      </c>
      <c r="E25" s="7" t="inlineStr">
        <is>
          <t>fd87ca2746</t>
        </is>
      </c>
      <c r="F25" s="7" t="inlineStr">
        <is>
          <t>synthetic</t>
        </is>
      </c>
      <c r="G25" s="10" t="n">
        <v>46316.67178240741</v>
      </c>
      <c r="H25" s="10" t="n">
        <v>46316.671875</v>
      </c>
      <c r="I25" s="7" t="n">
        <v>0</v>
      </c>
      <c r="J25" s="7" t="inlineStr">
        <is>
          <t>passed</t>
        </is>
      </c>
      <c r="K25" s="7" t="n">
        <v>4</v>
      </c>
      <c r="L25" s="7" t="n">
        <v>4</v>
      </c>
      <c r="M25" s="7" t="n">
        <v>0</v>
      </c>
      <c r="N25" s="7" t="n">
        <v>0</v>
      </c>
      <c r="O25" s="7" t="inlineStr"/>
      <c r="P25" s="7" t="inlineStr">
        <is>
          <t>reports/verification/overnight/baseline/logs/e2e-public.log</t>
        </is>
      </c>
      <c r="Q25" s="7" t="inlineStr">
        <is>
          <t>reports/verification/overnight/baseline/junit/e2e-public.xml</t>
        </is>
      </c>
    </row>
    <row r="26">
      <c r="A26" s="7" t="inlineStr">
        <is>
          <t>History (earlier ledger; failures preserved)</t>
        </is>
      </c>
      <c r="B26" s="7" t="inlineStr">
        <is>
          <t>overnight</t>
        </is>
      </c>
      <c r="C26" s="7" t="inlineStr">
        <is>
          <t>e2e summary/export</t>
        </is>
      </c>
      <c r="D26" s="7" t="inlineStr">
        <is>
          <t>npx playwright test --config playwright.summary.config.ts --reporter=list,junit</t>
        </is>
      </c>
      <c r="E26" s="7" t="inlineStr">
        <is>
          <t>fd87ca2746</t>
        </is>
      </c>
      <c r="F26" s="7" t="inlineStr">
        <is>
          <t>local</t>
        </is>
      </c>
      <c r="G26" s="10" t="n">
        <v>46316.67188657408</v>
      </c>
      <c r="H26" s="10" t="n">
        <v>46316.67211805555</v>
      </c>
      <c r="I26" s="7" t="n">
        <v>0</v>
      </c>
      <c r="J26" s="7" t="inlineStr">
        <is>
          <t>passed</t>
        </is>
      </c>
      <c r="K26" s="7" t="n">
        <v>3</v>
      </c>
      <c r="L26" s="7" t="n">
        <v>3</v>
      </c>
      <c r="M26" s="7" t="n">
        <v>0</v>
      </c>
      <c r="N26" s="7" t="n">
        <v>0</v>
      </c>
      <c r="O26" s="7" t="inlineStr"/>
      <c r="P26" s="7" t="inlineStr">
        <is>
          <t>reports/verification/overnight/baseline/logs/e2e-summary.log</t>
        </is>
      </c>
      <c r="Q26" s="7" t="inlineStr">
        <is>
          <t>reports/verification/overnight/baseline/junit/e2e-summary.xml</t>
        </is>
      </c>
    </row>
    <row r="27">
      <c r="A27" s="7" t="inlineStr">
        <is>
          <t>History (earlier ledger; failures preserved)</t>
        </is>
      </c>
      <c r="B27" s="7" t="inlineStr">
        <is>
          <t>overnight</t>
        </is>
      </c>
      <c r="C27" s="7" t="inlineStr">
        <is>
          <t>README/submission consistency</t>
        </is>
      </c>
      <c r="D27" s="7" t="inlineStr">
        <is>
          <t>uv run python scripts/check_submission.py</t>
        </is>
      </c>
      <c r="E27" s="7" t="inlineStr">
        <is>
          <t>fd87ca2746</t>
        </is>
      </c>
      <c r="F27" s="7" t="inlineStr">
        <is>
          <t>local</t>
        </is>
      </c>
      <c r="G27" s="10" t="n">
        <v>46316.67212962963</v>
      </c>
      <c r="H27" s="10" t="n">
        <v>46316.67215277778</v>
      </c>
      <c r="I27" s="7" t="n">
        <v>0</v>
      </c>
      <c r="J27" s="7" t="inlineStr">
        <is>
          <t>passed</t>
        </is>
      </c>
      <c r="K27" s="7" t="inlineStr">
        <is>
          <t>—</t>
        </is>
      </c>
      <c r="L27" s="7" t="inlineStr">
        <is>
          <t>—</t>
        </is>
      </c>
      <c r="M27" s="7" t="inlineStr">
        <is>
          <t>—</t>
        </is>
      </c>
      <c r="N27" s="7" t="inlineStr">
        <is>
          <t>—</t>
        </is>
      </c>
      <c r="O27" s="7" t="inlineStr"/>
      <c r="P27" s="7" t="inlineStr">
        <is>
          <t>reports/verification/overnight/baseline/logs/check_submission.log</t>
        </is>
      </c>
      <c r="Q27" s="7" t="inlineStr"/>
    </row>
    <row r="28">
      <c r="A28" s="7" t="inlineStr">
        <is>
          <t>History (earlier ledger; failures preserved)</t>
        </is>
      </c>
      <c r="B28" s="7" t="inlineStr">
        <is>
          <t>overnight</t>
        </is>
      </c>
      <c r="C28" s="7" t="inlineStr">
        <is>
          <t>selected-claim consistency (evidence manifest)</t>
        </is>
      </c>
      <c r="D28" s="7" t="inlineStr">
        <is>
          <t>uv run python scripts/evidence_manifest.py</t>
        </is>
      </c>
      <c r="E28" s="7" t="inlineStr">
        <is>
          <t>fd87ca2746</t>
        </is>
      </c>
      <c r="F28" s="7" t="inlineStr">
        <is>
          <t>local</t>
        </is>
      </c>
      <c r="G28" s="10" t="n">
        <v>46316.67215277778</v>
      </c>
      <c r="H28" s="10" t="n">
        <v>46316.67216435185</v>
      </c>
      <c r="I28" s="7" t="n">
        <v>0</v>
      </c>
      <c r="J28" s="7" t="inlineStr">
        <is>
          <t>passed</t>
        </is>
      </c>
      <c r="K28" s="7" t="inlineStr">
        <is>
          <t>—</t>
        </is>
      </c>
      <c r="L28" s="7" t="inlineStr">
        <is>
          <t>—</t>
        </is>
      </c>
      <c r="M28" s="7" t="inlineStr">
        <is>
          <t>—</t>
        </is>
      </c>
      <c r="N28" s="7" t="inlineStr">
        <is>
          <t>—</t>
        </is>
      </c>
      <c r="O28" s="7" t="inlineStr"/>
      <c r="P28" s="7" t="inlineStr">
        <is>
          <t>reports/verification/overnight/baseline/logs/evidence_manifest.log</t>
        </is>
      </c>
      <c r="Q28" s="7" t="inlineStr"/>
    </row>
    <row r="29">
      <c r="A29" s="7" t="inlineStr">
        <is>
          <t>History (earlier ledger; failures preserved)</t>
        </is>
      </c>
      <c r="B29" s="7" t="inlineStr">
        <is>
          <t>overnight</t>
        </is>
      </c>
      <c r="C29" s="7" t="inlineStr">
        <is>
          <t>e2e confirmation: journey.spec.ts review summary (single bounded rerun)</t>
        </is>
      </c>
      <c r="D29" s="7" t="inlineStr">
        <is>
          <t>npx playwright test --config playwright.config.ts e2e/journey.spec.ts -g frozen review summary with its cutoff --reporter=list,junit --output=&lt;scratch&gt;/pw-confirm</t>
        </is>
      </c>
      <c r="E29" s="7" t="inlineStr">
        <is>
          <t>fd87ca2746</t>
        </is>
      </c>
      <c r="F29" s="7" t="inlineStr">
        <is>
          <t>local</t>
        </is>
      </c>
      <c r="G29" s="10" t="n">
        <v>46316.67292824074</v>
      </c>
      <c r="H29" s="10" t="n">
        <v>46316.67302083333</v>
      </c>
      <c r="I29" s="7" t="n">
        <v>0</v>
      </c>
      <c r="J29" s="7" t="inlineStr">
        <is>
          <t>passed</t>
        </is>
      </c>
      <c r="K29" s="7" t="n">
        <v>1</v>
      </c>
      <c r="L29" s="7" t="n">
        <v>1</v>
      </c>
      <c r="M29" s="7" t="n">
        <v>0</v>
      </c>
      <c r="N29" s="7" t="n">
        <v>0</v>
      </c>
      <c r="O29" s="7" t="inlineStr"/>
      <c r="P29" s="7" t="inlineStr">
        <is>
          <t>reports/verification/overnight/baseline/logs/e2e-confirm-review-summary.log</t>
        </is>
      </c>
      <c r="Q29" s="7" t="inlineStr">
        <is>
          <t>reports/verification/overnight/baseline/junit/e2e-confirm.xml</t>
        </is>
      </c>
    </row>
    <row r="30">
      <c r="A30" s="7" t="inlineStr">
        <is>
          <t>History (earlier ledger; failures preserved)</t>
        </is>
      </c>
      <c r="B30" s="7" t="inlineStr">
        <is>
          <t>overnight</t>
        </is>
      </c>
      <c r="C30" s="7" t="inlineStr">
        <is>
          <t>parity: registered serving model, default model path, TEMP output</t>
        </is>
      </c>
      <c r="D30" s="7" t="inlineStr">
        <is>
          <t>uv run --frozen python scripts/serving_parity.py --output &lt;scratch&gt;/parity_default/serving_parity.json</t>
        </is>
      </c>
      <c r="E30" s="7" t="inlineStr">
        <is>
          <t>fd87ca2746</t>
        </is>
      </c>
      <c r="F30" s="7" t="inlineStr">
        <is>
          <t>recorded data</t>
        </is>
      </c>
      <c r="G30" s="10" t="n">
        <v>46316.67329861111</v>
      </c>
      <c r="H30" s="10" t="n">
        <v>46316.67372685186</v>
      </c>
      <c r="I30" s="7" t="n">
        <v>0</v>
      </c>
      <c r="J30" s="7" t="inlineStr">
        <is>
          <t>passed</t>
        </is>
      </c>
      <c r="K30" s="7" t="inlineStr">
        <is>
          <t>—</t>
        </is>
      </c>
      <c r="L30" s="7" t="inlineStr">
        <is>
          <t>—</t>
        </is>
      </c>
      <c r="M30" s="7" t="inlineStr">
        <is>
          <t>—</t>
        </is>
      </c>
      <c r="N30" s="7" t="inlineStr">
        <is>
          <t>—</t>
        </is>
      </c>
      <c r="O30" s="7" t="inlineStr"/>
      <c r="P30" s="7" t="inlineStr">
        <is>
          <t>reports/verification/overnight/logs/parity-default-temp.log</t>
        </is>
      </c>
      <c r="Q30" s="7" t="inlineStr"/>
    </row>
    <row r="31">
      <c r="A31" s="7" t="inlineStr">
        <is>
          <t>History (earlier ledger; failures preserved)</t>
        </is>
      </c>
      <c r="B31" s="7" t="inlineStr">
        <is>
          <t>overnight</t>
        </is>
      </c>
      <c r="C31" s="7" t="inlineStr">
        <is>
          <t>parity: --model-dir option on the incumbent model dir (candidate-path smoke)</t>
        </is>
      </c>
      <c r="D31" s="7" t="inlineStr">
        <is>
          <t>uv run --frozen python scripts/serving_parity.py --model-dir artifacts/models/lightgbm.dyn-prof-v2.gt-primary-2026-10-13-fusion --output .claude/worktrees/qa/reports/verification/overnight/parity/parity_model_dir_smoke_incumbent.json</t>
        </is>
      </c>
      <c r="E31" s="7" t="inlineStr">
        <is>
          <t>fd87ca2746</t>
        </is>
      </c>
      <c r="F31" s="7" t="inlineStr">
        <is>
          <t>recorded data</t>
        </is>
      </c>
      <c r="G31" s="10" t="n">
        <v>46316.67372685186</v>
      </c>
      <c r="H31" s="10" t="n">
        <v>46316.67416666666</v>
      </c>
      <c r="I31" s="7" t="n">
        <v>0</v>
      </c>
      <c r="J31" s="7" t="inlineStr">
        <is>
          <t>passed</t>
        </is>
      </c>
      <c r="K31" s="7" t="inlineStr">
        <is>
          <t>—</t>
        </is>
      </c>
      <c r="L31" s="7" t="inlineStr">
        <is>
          <t>—</t>
        </is>
      </c>
      <c r="M31" s="7" t="inlineStr">
        <is>
          <t>—</t>
        </is>
      </c>
      <c r="N31" s="7" t="inlineStr">
        <is>
          <t>—</t>
        </is>
      </c>
      <c r="O31" s="7" t="inlineStr"/>
      <c r="P31" s="7" t="inlineStr">
        <is>
          <t>reports/verification/overnight/logs/parity-model-dir-incumbent.log</t>
        </is>
      </c>
      <c r="Q31" s="7" t="inlineStr"/>
    </row>
    <row r="32">
      <c r="A32" s="7" t="inlineStr">
        <is>
          <t>History (earlier ledger; failures preserved)</t>
        </is>
      </c>
      <c r="B32" s="7" t="inlineStr">
        <is>
          <t>overnight</t>
        </is>
      </c>
      <c r="C32" s="7" t="inlineStr">
        <is>
          <t>python lint (tooling commit)</t>
        </is>
      </c>
      <c r="D32" s="7" t="inlineStr">
        <is>
          <t>uv run ruff check .</t>
        </is>
      </c>
      <c r="E32" s="7" t="inlineStr">
        <is>
          <t>b391260376</t>
        </is>
      </c>
      <c r="F32" s="7" t="inlineStr">
        <is>
          <t>local</t>
        </is>
      </c>
      <c r="G32" s="10" t="n">
        <v>46316.67462962963</v>
      </c>
      <c r="H32" s="10" t="n">
        <v>46316.67462962963</v>
      </c>
      <c r="I32" s="7" t="n">
        <v>0</v>
      </c>
      <c r="J32" s="7" t="inlineStr">
        <is>
          <t>passed</t>
        </is>
      </c>
      <c r="K32" s="7" t="inlineStr">
        <is>
          <t>—</t>
        </is>
      </c>
      <c r="L32" s="7" t="inlineStr">
        <is>
          <t>—</t>
        </is>
      </c>
      <c r="M32" s="7" t="inlineStr">
        <is>
          <t>—</t>
        </is>
      </c>
      <c r="N32" s="7" t="inlineStr">
        <is>
          <t>—</t>
        </is>
      </c>
      <c r="O32" s="7" t="inlineStr"/>
      <c r="P32" s="7" t="inlineStr">
        <is>
          <t>reports/verification/overnight/tooling/logs/ruff.log</t>
        </is>
      </c>
      <c r="Q32" s="7" t="inlineStr"/>
    </row>
    <row r="33">
      <c r="A33" s="7" t="inlineStr">
        <is>
          <t>History (earlier ledger; failures preserved)</t>
        </is>
      </c>
      <c r="B33" s="7" t="inlineStr">
        <is>
          <t>overnight</t>
        </is>
      </c>
      <c r="C33" s="7" t="inlineStr">
        <is>
          <t>backend pytest complete (tooling commit)</t>
        </is>
      </c>
      <c r="D33" s="7" t="inlineStr">
        <is>
          <t>uv run pytest -q --junitxml=.claude/worktrees/qa/reports/verification/overnight/tooling/junit/pytest.xml</t>
        </is>
      </c>
      <c r="E33" s="7" t="inlineStr">
        <is>
          <t>b391260376</t>
        </is>
      </c>
      <c r="F33" s="7" t="inlineStr">
        <is>
          <t>local</t>
        </is>
      </c>
      <c r="G33" s="10" t="n">
        <v>46316.67462962963</v>
      </c>
      <c r="H33" s="10" t="n">
        <v>46316.67574074074</v>
      </c>
      <c r="I33" s="7" t="n">
        <v>0</v>
      </c>
      <c r="J33" s="7" t="inlineStr">
        <is>
          <t>passed</t>
        </is>
      </c>
      <c r="K33" s="7" t="n">
        <v>173</v>
      </c>
      <c r="L33" s="7" t="n">
        <v>172</v>
      </c>
      <c r="M33" s="7" t="n">
        <v>0</v>
      </c>
      <c r="N33" s="7" t="n">
        <v>1</v>
      </c>
      <c r="O33" s="7" t="inlineStr">
        <is>
          <t>compared once, from the fusion side (1)</t>
        </is>
      </c>
      <c r="P33" s="7" t="inlineStr">
        <is>
          <t>reports/verification/overnight/tooling/logs/pytest.log</t>
        </is>
      </c>
      <c r="Q33" s="7" t="inlineStr">
        <is>
          <t>reports/verification/overnight/tooling/junit/pytest.xml</t>
        </is>
      </c>
    </row>
    <row r="34">
      <c r="A34" s="7" t="inlineStr">
        <is>
          <t>History (earlier ledger; failures preserved)</t>
        </is>
      </c>
      <c r="B34" s="7" t="inlineStr">
        <is>
          <t>overnight</t>
        </is>
      </c>
      <c r="C34" s="7" t="inlineStr">
        <is>
          <t>parity: --model-dir candidate path on the incumbent model (tooling commit)</t>
        </is>
      </c>
      <c r="D34" s="7" t="inlineStr">
        <is>
          <t>uv run python scripts/serving_parity.py --model-dir artifacts/models/lightgbm.dyn-prof-v2.gt-primary-2026-10-13-fusion --output .claude/worktrees/qa/reports/verification/overnight/parity/parity_model_dir_smoke_incumbent.json</t>
        </is>
      </c>
      <c r="E34" s="7" t="inlineStr">
        <is>
          <t>b391260376</t>
        </is>
      </c>
      <c r="F34" s="7" t="inlineStr">
        <is>
          <t>recorded data</t>
        </is>
      </c>
      <c r="G34" s="10" t="n">
        <v>46316.67574074074</v>
      </c>
      <c r="H34" s="10" t="n">
        <v>46316.67628472222</v>
      </c>
      <c r="I34" s="7" t="n">
        <v>0</v>
      </c>
      <c r="J34" s="7" t="inlineStr">
        <is>
          <t>passed</t>
        </is>
      </c>
      <c r="K34" s="7" t="inlineStr">
        <is>
          <t>—</t>
        </is>
      </c>
      <c r="L34" s="7" t="inlineStr">
        <is>
          <t>—</t>
        </is>
      </c>
      <c r="M34" s="7" t="inlineStr">
        <is>
          <t>—</t>
        </is>
      </c>
      <c r="N34" s="7" t="inlineStr">
        <is>
          <t>—</t>
        </is>
      </c>
      <c r="O34" s="7" t="inlineStr"/>
      <c r="P34" s="7" t="inlineStr">
        <is>
          <t>reports/verification/overnight/tooling/logs/parity-model-dir.log</t>
        </is>
      </c>
      <c r="Q34" s="7" t="inlineStr"/>
    </row>
    <row r="35">
      <c r="A35" s="7" t="inlineStr">
        <is>
          <t>History (earlier ledger; failures preserved)</t>
        </is>
      </c>
      <c r="B35" s="7" t="inlineStr">
        <is>
          <t>overnight</t>
        </is>
      </c>
      <c r="C35" s="7" t="inlineStr">
        <is>
          <t>parity: registered serving model, default model path, TEMP output (tooling commit)</t>
        </is>
      </c>
      <c r="D35" s="7" t="inlineStr">
        <is>
          <t>uv run python scripts/serving_parity.py --output &lt;scratch&gt;/parity_default/serving_parity.json</t>
        </is>
      </c>
      <c r="E35" s="7" t="inlineStr">
        <is>
          <t>b391260376</t>
        </is>
      </c>
      <c r="F35" s="7" t="inlineStr">
        <is>
          <t>recorded data</t>
        </is>
      </c>
      <c r="G35" s="10" t="n">
        <v>46316.67640046297</v>
      </c>
      <c r="H35" s="10" t="n">
        <v>46316.67701388889</v>
      </c>
      <c r="I35" s="7" t="n">
        <v>0</v>
      </c>
      <c r="J35" s="7" t="inlineStr">
        <is>
          <t>passed</t>
        </is>
      </c>
      <c r="K35" s="7" t="inlineStr">
        <is>
          <t>—</t>
        </is>
      </c>
      <c r="L35" s="7" t="inlineStr">
        <is>
          <t>—</t>
        </is>
      </c>
      <c r="M35" s="7" t="inlineStr">
        <is>
          <t>—</t>
        </is>
      </c>
      <c r="N35" s="7" t="inlineStr">
        <is>
          <t>—</t>
        </is>
      </c>
      <c r="O35" s="7" t="inlineStr"/>
      <c r="P35" s="7" t="inlineStr">
        <is>
          <t>reports/verification/overnight/tooling/logs/parity-default-temp.log</t>
        </is>
      </c>
      <c r="Q35" s="7" t="inlineStr"/>
    </row>
    <row r="36">
      <c r="A36" s="7" t="inlineStr">
        <is>
          <t>History (earlier ledger; failures preserved)</t>
        </is>
      </c>
      <c r="B36" s="7" t="inlineStr">
        <is>
          <t>overnight</t>
        </is>
      </c>
      <c r="C36" s="7" t="inlineStr">
        <is>
          <t>environment: test_patient_level_data_and_private_notes_are_git_ignored</t>
        </is>
      </c>
      <c r="D36" s="7" t="inlineStr">
        <is>
          <t>uv run --no-sync pytest -q -p no:cacheprovider tests/test_replay_api.py::test_patient_level_data_and_private_notes_are_git_ignored</t>
        </is>
      </c>
      <c r="E36" s="7" t="inlineStr">
        <is>
          <t>b391260376</t>
        </is>
      </c>
      <c r="F36" s="7" t="inlineStr">
        <is>
          <t>local</t>
        </is>
      </c>
      <c r="G36" s="10" t="n">
        <v>46316.67721064815</v>
      </c>
      <c r="H36" s="10" t="n"/>
      <c r="I36" s="7" t="n">
        <v>0</v>
      </c>
      <c r="J36" s="7" t="inlineStr">
        <is>
          <t>passed</t>
        </is>
      </c>
      <c r="K36" s="7" t="n">
        <v>1</v>
      </c>
      <c r="L36" s="7" t="n">
        <v>1</v>
      </c>
      <c r="M36" s="7" t="n">
        <v>0</v>
      </c>
      <c r="N36" s="7" t="n">
        <v>0</v>
      </c>
      <c r="O36" s="7" t="inlineStr"/>
      <c r="P36" s="7" t="inlineStr"/>
      <c r="Q36" s="7" t="inlineStr"/>
    </row>
    <row r="37">
      <c r="A37" s="7" t="inlineStr">
        <is>
          <t>History (earlier ledger; failures preserved)</t>
        </is>
      </c>
      <c r="B37" s="7" t="inlineStr">
        <is>
          <t>overnight</t>
        </is>
      </c>
      <c r="C37" s="7" t="inlineStr">
        <is>
          <t>tracked-file side effects of the baseline matrix</t>
        </is>
      </c>
      <c r="D37" s="7" t="inlineStr"/>
      <c r="E37" s="7" t="inlineStr">
        <is>
          <t>b391260376</t>
        </is>
      </c>
      <c r="F37" s="7" t="inlineStr">
        <is>
          <t>local</t>
        </is>
      </c>
      <c r="G37" s="10" t="n">
        <v>46316.67722222222</v>
      </c>
      <c r="H37" s="10" t="n"/>
      <c r="I37" s="7" t="n"/>
      <c r="J37" s="7" t="inlineStr">
        <is>
          <t>passed</t>
        </is>
      </c>
      <c r="K37" s="7" t="inlineStr">
        <is>
          <t>—</t>
        </is>
      </c>
      <c r="L37" s="7" t="inlineStr">
        <is>
          <t>—</t>
        </is>
      </c>
      <c r="M37" s="7" t="inlineStr">
        <is>
          <t>—</t>
        </is>
      </c>
      <c r="N37" s="7" t="inlineStr">
        <is>
          <t>—</t>
        </is>
      </c>
      <c r="O37" s="7" t="inlineStr"/>
      <c r="P37" s="7" t="inlineStr"/>
      <c r="Q37" s="7" t="inlineStr"/>
    </row>
    <row r="38">
      <c r="A38" s="7" t="inlineStr">
        <is>
          <t>History (earlier ledger; failures preserved)</t>
        </is>
      </c>
      <c r="B38" s="7" t="inlineStr">
        <is>
          <t>overnight</t>
        </is>
      </c>
      <c r="C38" s="7" t="inlineStr">
        <is>
          <t>python lint (ledger fixes commit)</t>
        </is>
      </c>
      <c r="D38" s="7" t="inlineStr">
        <is>
          <t>uv run ruff check .</t>
        </is>
      </c>
      <c r="E38" s="7" t="inlineStr">
        <is>
          <t>622ff0e42b</t>
        </is>
      </c>
      <c r="F38" s="7" t="inlineStr">
        <is>
          <t>local</t>
        </is>
      </c>
      <c r="G38" s="10" t="n">
        <v>46316.71172453704</v>
      </c>
      <c r="H38" s="10" t="n">
        <v>46316.71172453704</v>
      </c>
      <c r="I38" s="7" t="n">
        <v>0</v>
      </c>
      <c r="J38" s="7" t="inlineStr">
        <is>
          <t>passed</t>
        </is>
      </c>
      <c r="K38" s="7" t="inlineStr">
        <is>
          <t>—</t>
        </is>
      </c>
      <c r="L38" s="7" t="inlineStr">
        <is>
          <t>—</t>
        </is>
      </c>
      <c r="M38" s="7" t="inlineStr">
        <is>
          <t>—</t>
        </is>
      </c>
      <c r="N38" s="7" t="inlineStr">
        <is>
          <t>—</t>
        </is>
      </c>
      <c r="O38" s="7" t="inlineStr"/>
      <c r="P38" s="7" t="inlineStr">
        <is>
          <t>reports/verification/overnight/tooling/logs/ruff-622ff0e.log</t>
        </is>
      </c>
      <c r="Q38" s="7" t="inlineStr"/>
    </row>
    <row r="39">
      <c r="A39" s="7" t="inlineStr">
        <is>
          <t>History (earlier ledger; failures preserved)</t>
        </is>
      </c>
      <c r="B39" s="7" t="inlineStr">
        <is>
          <t>overnight</t>
        </is>
      </c>
      <c r="C39" s="7" t="inlineStr">
        <is>
          <t>backend pytest complete (ledger fixes commit)</t>
        </is>
      </c>
      <c r="D39" s="7" t="inlineStr">
        <is>
          <t>uv run pytest -q --junitxml=.claude/worktrees/qa/reports/verification/overnight/tooling/junit/pytest-622ff0e.xml</t>
        </is>
      </c>
      <c r="E39" s="7" t="inlineStr">
        <is>
          <t>622ff0e42b</t>
        </is>
      </c>
      <c r="F39" s="7" t="inlineStr">
        <is>
          <t>local</t>
        </is>
      </c>
      <c r="G39" s="10" t="n">
        <v>46316.71172453704</v>
      </c>
      <c r="H39" s="10" t="n">
        <v>46316.71313657407</v>
      </c>
      <c r="I39" s="7" t="n">
        <v>0</v>
      </c>
      <c r="J39" s="7" t="inlineStr">
        <is>
          <t>passed</t>
        </is>
      </c>
      <c r="K39" s="7" t="n">
        <v>177</v>
      </c>
      <c r="L39" s="7" t="n">
        <v>176</v>
      </c>
      <c r="M39" s="7" t="n">
        <v>0</v>
      </c>
      <c r="N39" s="7" t="n">
        <v>1</v>
      </c>
      <c r="O39" s="7" t="inlineStr">
        <is>
          <t>compared once, from the fusion side (1)</t>
        </is>
      </c>
      <c r="P39" s="7" t="inlineStr">
        <is>
          <t>reports/verification/overnight/tooling/logs/pytest-622ff0e.log</t>
        </is>
      </c>
      <c r="Q39" s="7" t="inlineStr">
        <is>
          <t>reports/verification/overnight/tooling/junit/pytest-622ff0e.xml</t>
        </is>
      </c>
    </row>
    <row r="40">
      <c r="A40" s="7" t="inlineStr">
        <is>
          <t>History (earlier ledger; failures preserved)</t>
        </is>
      </c>
      <c r="B40" s="7" t="inlineStr">
        <is>
          <t>overnight</t>
        </is>
      </c>
      <c r="C40" s="7" t="inlineStr">
        <is>
          <t>I python lint</t>
        </is>
      </c>
      <c r="D40" s="7" t="inlineStr">
        <is>
          <t>uv run ruff check .</t>
        </is>
      </c>
      <c r="E40" s="7" t="inlineStr">
        <is>
          <t>c9b610085a</t>
        </is>
      </c>
      <c r="F40" s="7" t="inlineStr">
        <is>
          <t>local</t>
        </is>
      </c>
      <c r="G40" s="10" t="n">
        <v>46316.9181712963</v>
      </c>
      <c r="H40" s="10" t="n">
        <v>46316.9181712963</v>
      </c>
      <c r="I40" s="7" t="n">
        <v>0</v>
      </c>
      <c r="J40" s="7" t="inlineStr">
        <is>
          <t>passed</t>
        </is>
      </c>
      <c r="K40" s="7" t="inlineStr">
        <is>
          <t>—</t>
        </is>
      </c>
      <c r="L40" s="7" t="inlineStr">
        <is>
          <t>—</t>
        </is>
      </c>
      <c r="M40" s="7" t="inlineStr">
        <is>
          <t>—</t>
        </is>
      </c>
      <c r="N40" s="7" t="inlineStr">
        <is>
          <t>—</t>
        </is>
      </c>
      <c r="O40" s="7" t="inlineStr"/>
      <c r="P40" s="7" t="inlineStr">
        <is>
          <t>reports/verification/overnight/integrated/logs/ruff.log</t>
        </is>
      </c>
      <c r="Q40" s="7" t="inlineStr"/>
    </row>
    <row r="41">
      <c r="A41" s="7" t="inlineStr">
        <is>
          <t>History (earlier ledger; failures preserved)</t>
        </is>
      </c>
      <c r="B41" s="7" t="inlineStr">
        <is>
          <t>overnight</t>
        </is>
      </c>
      <c r="C41" s="7" t="inlineStr">
        <is>
          <t>I backend pytest (complete)</t>
        </is>
      </c>
      <c r="D41" s="7" t="inlineStr">
        <is>
          <t>uv run pytest -q --junitxml=.claude/worktrees/qa/reports/verification/overnight/integrated/junit/pytest.xml</t>
        </is>
      </c>
      <c r="E41" s="7" t="inlineStr">
        <is>
          <t>c9b610085a</t>
        </is>
      </c>
      <c r="F41" s="7" t="inlineStr">
        <is>
          <t>local</t>
        </is>
      </c>
      <c r="G41" s="10" t="n">
        <v>46316.91818287037</v>
      </c>
      <c r="H41" s="10" t="n">
        <v>46316.91924768518</v>
      </c>
      <c r="I41" s="7" t="n">
        <v>1</v>
      </c>
      <c r="J41" s="7" t="inlineStr">
        <is>
          <t>failed</t>
        </is>
      </c>
      <c r="K41" s="7" t="n">
        <v>223</v>
      </c>
      <c r="L41" s="7" t="n">
        <v>219</v>
      </c>
      <c r="M41" s="7" t="n">
        <v>2</v>
      </c>
      <c r="N41" s="7" t="n">
        <v>2</v>
      </c>
      <c r="O41" s="7" t="inlineStr">
        <is>
          <t>could not import 'torch': No module named 'torch' (1); compared once, from the fusion side (1)</t>
        </is>
      </c>
      <c r="P41" s="7" t="inlineStr">
        <is>
          <t>reports/verification/overnight/integrated/logs/pytest.log</t>
        </is>
      </c>
      <c r="Q41" s="7" t="inlineStr">
        <is>
          <t>reports/verification/overnight/integrated/junit/pytest.xml</t>
        </is>
      </c>
    </row>
    <row r="42">
      <c r="A42" s="7" t="inlineStr">
        <is>
          <t>History (earlier ledger; failures preserved)</t>
        </is>
      </c>
      <c r="B42" s="7" t="inlineStr">
        <is>
          <t>overnight</t>
        </is>
      </c>
      <c r="C42" s="7" t="inlineStr">
        <is>
          <t>I frontend typecheck</t>
        </is>
      </c>
      <c r="D42" s="7" t="inlineStr">
        <is>
          <t>npm run typecheck</t>
        </is>
      </c>
      <c r="E42" s="7" t="inlineStr">
        <is>
          <t>c9b610085a</t>
        </is>
      </c>
      <c r="F42" s="7" t="inlineStr">
        <is>
          <t>local</t>
        </is>
      </c>
      <c r="G42" s="10" t="n">
        <v>46316.91924768518</v>
      </c>
      <c r="H42" s="10" t="n">
        <v>46316.91927083334</v>
      </c>
      <c r="I42" s="7" t="n">
        <v>0</v>
      </c>
      <c r="J42" s="7" t="inlineStr">
        <is>
          <t>passed</t>
        </is>
      </c>
      <c r="K42" s="7" t="inlineStr">
        <is>
          <t>—</t>
        </is>
      </c>
      <c r="L42" s="7" t="inlineStr">
        <is>
          <t>—</t>
        </is>
      </c>
      <c r="M42" s="7" t="inlineStr">
        <is>
          <t>—</t>
        </is>
      </c>
      <c r="N42" s="7" t="inlineStr">
        <is>
          <t>—</t>
        </is>
      </c>
      <c r="O42" s="7" t="inlineStr"/>
      <c r="P42" s="7" t="inlineStr">
        <is>
          <t>reports/verification/overnight/integrated/logs/typecheck.log</t>
        </is>
      </c>
      <c r="Q42" s="7" t="inlineStr"/>
    </row>
    <row r="43">
      <c r="A43" s="7" t="inlineStr">
        <is>
          <t>History (earlier ledger; failures preserved)</t>
        </is>
      </c>
      <c r="B43" s="7" t="inlineStr">
        <is>
          <t>overnight</t>
        </is>
      </c>
      <c r="C43" s="7" t="inlineStr">
        <is>
          <t>I frontend unit (vitest)</t>
        </is>
      </c>
      <c r="D43" s="7" t="inlineStr">
        <is>
          <t>npm test -- --reporter=default --reporter=junit --outputFile.junit=.claude/worktrees/qa/reports/verification/overnight/integrated/junit/vitest.xml</t>
        </is>
      </c>
      <c r="E43" s="7" t="inlineStr">
        <is>
          <t>c9b610085a</t>
        </is>
      </c>
      <c r="F43" s="7" t="inlineStr">
        <is>
          <t>local</t>
        </is>
      </c>
      <c r="G43" s="10" t="n">
        <v>46316.91928240741</v>
      </c>
      <c r="H43" s="10" t="n">
        <v>46316.91930555556</v>
      </c>
      <c r="I43" s="7" t="n">
        <v>0</v>
      </c>
      <c r="J43" s="7" t="inlineStr">
        <is>
          <t>passed</t>
        </is>
      </c>
      <c r="K43" s="7" t="n">
        <v>133</v>
      </c>
      <c r="L43" s="7" t="n">
        <v>133</v>
      </c>
      <c r="M43" s="7" t="n">
        <v>0</v>
      </c>
      <c r="N43" s="7" t="n">
        <v>0</v>
      </c>
      <c r="O43" s="7" t="inlineStr"/>
      <c r="P43" s="7" t="inlineStr">
        <is>
          <t>reports/verification/overnight/integrated/logs/vitest.log</t>
        </is>
      </c>
      <c r="Q43" s="7" t="inlineStr">
        <is>
          <t>reports/verification/overnight/integrated/junit/vitest.xml</t>
        </is>
      </c>
    </row>
    <row r="44">
      <c r="A44" s="7" t="inlineStr">
        <is>
          <t>History (earlier ledger; failures preserved)</t>
        </is>
      </c>
      <c r="B44" s="7" t="inlineStr">
        <is>
          <t>overnight</t>
        </is>
      </c>
      <c r="C44" s="7" t="inlineStr">
        <is>
          <t>I frontend production build</t>
        </is>
      </c>
      <c r="D44" s="7" t="inlineStr">
        <is>
          <t>npm run build</t>
        </is>
      </c>
      <c r="E44" s="7" t="inlineStr">
        <is>
          <t>c9b610085a</t>
        </is>
      </c>
      <c r="F44" s="7" t="inlineStr">
        <is>
          <t>local</t>
        </is>
      </c>
      <c r="G44" s="10" t="n">
        <v>46316.91930555556</v>
      </c>
      <c r="H44" s="10" t="n">
        <v>46316.91934027777</v>
      </c>
      <c r="I44" s="7" t="n">
        <v>0</v>
      </c>
      <c r="J44" s="7" t="inlineStr">
        <is>
          <t>passed</t>
        </is>
      </c>
      <c r="K44" s="7" t="inlineStr">
        <is>
          <t>—</t>
        </is>
      </c>
      <c r="L44" s="7" t="inlineStr">
        <is>
          <t>—</t>
        </is>
      </c>
      <c r="M44" s="7" t="inlineStr">
        <is>
          <t>—</t>
        </is>
      </c>
      <c r="N44" s="7" t="inlineStr">
        <is>
          <t>—</t>
        </is>
      </c>
      <c r="O44" s="7" t="inlineStr"/>
      <c r="P44" s="7" t="inlineStr">
        <is>
          <t>reports/verification/overnight/integrated/logs/build.log</t>
        </is>
      </c>
      <c r="Q44" s="7" t="inlineStr"/>
    </row>
    <row r="45">
      <c r="A45" s="7" t="inlineStr">
        <is>
          <t>History (earlier ledger; failures preserved)</t>
        </is>
      </c>
      <c r="B45" s="7" t="inlineStr">
        <is>
          <t>overnight</t>
        </is>
      </c>
      <c r="C45" s="7" t="inlineStr">
        <is>
          <t>I e2e normal + recorded judge journeys</t>
        </is>
      </c>
      <c r="D45" s="7" t="inlineStr">
        <is>
          <t>npm run e2e -- --reporter=list,junit --output=&lt;scratch&gt;/pw-out/i-e2e</t>
        </is>
      </c>
      <c r="E45" s="7" t="inlineStr">
        <is>
          <t>c9b610085a</t>
        </is>
      </c>
      <c r="F45" s="7" t="inlineStr">
        <is>
          <t>recorded data</t>
        </is>
      </c>
      <c r="G45" s="10" t="n">
        <v>46316.91934027777</v>
      </c>
      <c r="H45" s="10" t="n">
        <v>46316.92069444444</v>
      </c>
      <c r="I45" s="7" t="n">
        <v>0</v>
      </c>
      <c r="J45" s="7" t="inlineStr">
        <is>
          <t>passed</t>
        </is>
      </c>
      <c r="K45" s="7" t="n">
        <v>29</v>
      </c>
      <c r="L45" s="7" t="n">
        <v>29</v>
      </c>
      <c r="M45" s="7" t="n">
        <v>0</v>
      </c>
      <c r="N45" s="7" t="n">
        <v>0</v>
      </c>
      <c r="O45" s="7" t="inlineStr"/>
      <c r="P45" s="7" t="inlineStr">
        <is>
          <t>reports/verification/overnight/integrated/logs/e2e.log</t>
        </is>
      </c>
      <c r="Q45" s="7" t="inlineStr">
        <is>
          <t>reports/verification/overnight/integrated/junit/e2e.xml</t>
        </is>
      </c>
    </row>
    <row r="46">
      <c r="A46" s="7" t="inlineStr">
        <is>
          <t>History (earlier ledger; failures preserved)</t>
        </is>
      </c>
      <c r="B46" s="7" t="inlineStr">
        <is>
          <t>overnight</t>
        </is>
      </c>
      <c r="C46" s="7" t="inlineStr">
        <is>
          <t>I e2e public mode (local, synthetic)</t>
        </is>
      </c>
      <c r="D46" s="7" t="inlineStr">
        <is>
          <t>npx playwright test --config playwright.public.config.ts --reporter=list,junit --output=&lt;scratch&gt;/pw-out/i-public</t>
        </is>
      </c>
      <c r="E46" s="7" t="inlineStr">
        <is>
          <t>c9b610085a</t>
        </is>
      </c>
      <c r="F46" s="7" t="inlineStr">
        <is>
          <t>synthetic</t>
        </is>
      </c>
      <c r="G46" s="10" t="n">
        <v>46316.92070601852</v>
      </c>
      <c r="H46" s="10" t="n">
        <v>46316.92079861111</v>
      </c>
      <c r="I46" s="7" t="n">
        <v>0</v>
      </c>
      <c r="J46" s="7" t="inlineStr">
        <is>
          <t>passed</t>
        </is>
      </c>
      <c r="K46" s="7" t="n">
        <v>4</v>
      </c>
      <c r="L46" s="7" t="n">
        <v>4</v>
      </c>
      <c r="M46" s="7" t="n">
        <v>0</v>
      </c>
      <c r="N46" s="7" t="n">
        <v>0</v>
      </c>
      <c r="O46" s="7" t="inlineStr"/>
      <c r="P46" s="7" t="inlineStr">
        <is>
          <t>reports/verification/overnight/integrated/logs/e2e-public.log</t>
        </is>
      </c>
      <c r="Q46" s="7" t="inlineStr">
        <is>
          <t>reports/verification/overnight/integrated/junit/e2e-public.xml</t>
        </is>
      </c>
    </row>
    <row r="47">
      <c r="A47" s="7" t="inlineStr">
        <is>
          <t>History (earlier ledger; failures preserved)</t>
        </is>
      </c>
      <c r="B47" s="7" t="inlineStr">
        <is>
          <t>overnight</t>
        </is>
      </c>
      <c r="C47" s="7" t="inlineStr">
        <is>
          <t>I e2e summary/export</t>
        </is>
      </c>
      <c r="D47" s="7" t="inlineStr">
        <is>
          <t>npx playwright test --config playwright.summary.config.ts --reporter=list,junit --output=&lt;scratch&gt;/pw-out/i-summary</t>
        </is>
      </c>
      <c r="E47" s="7" t="inlineStr">
        <is>
          <t>c9b610085a</t>
        </is>
      </c>
      <c r="F47" s="7" t="inlineStr">
        <is>
          <t>local</t>
        </is>
      </c>
      <c r="G47" s="10" t="n">
        <v>46316.92081018518</v>
      </c>
      <c r="H47" s="10" t="n">
        <v>46316.92104166667</v>
      </c>
      <c r="I47" s="7" t="n">
        <v>0</v>
      </c>
      <c r="J47" s="7" t="inlineStr">
        <is>
          <t>passed</t>
        </is>
      </c>
      <c r="K47" s="7" t="n">
        <v>3</v>
      </c>
      <c r="L47" s="7" t="n">
        <v>3</v>
      </c>
      <c r="M47" s="7" t="n">
        <v>0</v>
      </c>
      <c r="N47" s="7" t="n">
        <v>0</v>
      </c>
      <c r="O47" s="7" t="inlineStr"/>
      <c r="P47" s="7" t="inlineStr">
        <is>
          <t>reports/verification/overnight/integrated/logs/e2e-summary.log</t>
        </is>
      </c>
      <c r="Q47" s="7" t="inlineStr">
        <is>
          <t>reports/verification/overnight/integrated/junit/e2e-summary.xml</t>
        </is>
      </c>
    </row>
    <row r="48">
      <c r="A48" s="7" t="inlineStr">
        <is>
          <t>History (earlier ledger; failures preserved)</t>
        </is>
      </c>
      <c r="B48" s="7" t="inlineStr">
        <is>
          <t>overnight</t>
        </is>
      </c>
      <c r="C48" s="7" t="inlineStr">
        <is>
          <t>I README/submission consistency</t>
        </is>
      </c>
      <c r="D48" s="7" t="inlineStr">
        <is>
          <t>uv run python scripts/check_submission.py</t>
        </is>
      </c>
      <c r="E48" s="7" t="inlineStr">
        <is>
          <t>c9b610085a</t>
        </is>
      </c>
      <c r="F48" s="7" t="inlineStr">
        <is>
          <t>local</t>
        </is>
      </c>
      <c r="G48" s="10" t="n">
        <v>46316.92104166667</v>
      </c>
      <c r="H48" s="10" t="n">
        <v>46316.92106481481</v>
      </c>
      <c r="I48" s="7" t="n">
        <v>0</v>
      </c>
      <c r="J48" s="7" t="inlineStr">
        <is>
          <t>passed</t>
        </is>
      </c>
      <c r="K48" s="7" t="inlineStr">
        <is>
          <t>—</t>
        </is>
      </c>
      <c r="L48" s="7" t="inlineStr">
        <is>
          <t>—</t>
        </is>
      </c>
      <c r="M48" s="7" t="inlineStr">
        <is>
          <t>—</t>
        </is>
      </c>
      <c r="N48" s="7" t="inlineStr">
        <is>
          <t>—</t>
        </is>
      </c>
      <c r="O48" s="7" t="inlineStr"/>
      <c r="P48" s="7" t="inlineStr">
        <is>
          <t>reports/verification/overnight/integrated/logs/check_submission.log</t>
        </is>
      </c>
      <c r="Q48" s="7" t="inlineStr"/>
    </row>
    <row r="49">
      <c r="A49" s="7" t="inlineStr">
        <is>
          <t>History (earlier ledger; failures preserved)</t>
        </is>
      </c>
      <c r="B49" s="7" t="inlineStr">
        <is>
          <t>overnight</t>
        </is>
      </c>
      <c r="C49" s="7" t="inlineStr">
        <is>
          <t>I selected-claim consistency (evidence manifest)</t>
        </is>
      </c>
      <c r="D49" s="7" t="inlineStr">
        <is>
          <t>uv run python scripts/evidence_manifest.py</t>
        </is>
      </c>
      <c r="E49" s="7" t="inlineStr">
        <is>
          <t>c9b610085a</t>
        </is>
      </c>
      <c r="F49" s="7" t="inlineStr">
        <is>
          <t>local</t>
        </is>
      </c>
      <c r="G49" s="10" t="n">
        <v>46316.92107638889</v>
      </c>
      <c r="H49" s="10" t="n">
        <v>46316.92107638889</v>
      </c>
      <c r="I49" s="7" t="n">
        <v>0</v>
      </c>
      <c r="J49" s="7" t="inlineStr">
        <is>
          <t>passed</t>
        </is>
      </c>
      <c r="K49" s="7" t="inlineStr">
        <is>
          <t>—</t>
        </is>
      </c>
      <c r="L49" s="7" t="inlineStr">
        <is>
          <t>—</t>
        </is>
      </c>
      <c r="M49" s="7" t="inlineStr">
        <is>
          <t>—</t>
        </is>
      </c>
      <c r="N49" s="7" t="inlineStr">
        <is>
          <t>—</t>
        </is>
      </c>
      <c r="O49" s="7" t="inlineStr"/>
      <c r="P49" s="7" t="inlineStr">
        <is>
          <t>reports/verification/overnight/integrated/logs/evidence_manifest.log</t>
        </is>
      </c>
      <c r="Q49" s="7" t="inlineStr"/>
    </row>
    <row r="50">
      <c r="A50" s="7" t="inlineStr">
        <is>
          <t>History (earlier ledger; failures preserved)</t>
        </is>
      </c>
      <c r="B50" s="7" t="inlineStr">
        <is>
          <t>overnight</t>
        </is>
      </c>
      <c r="C50" s="7" t="inlineStr">
        <is>
          <t>I D-053 runner validate (read-only)</t>
        </is>
      </c>
      <c r="D50" s="7" t="inlineStr">
        <is>
          <t>uv run python scripts/constrained_study.py validate</t>
        </is>
      </c>
      <c r="E50" s="7" t="inlineStr">
        <is>
          <t>c9b610085a</t>
        </is>
      </c>
      <c r="F50" s="7" t="inlineStr">
        <is>
          <t>local</t>
        </is>
      </c>
      <c r="G50" s="10" t="n">
        <v>46316.92108796296</v>
      </c>
      <c r="H50" s="10" t="n">
        <v>46316.92109953704</v>
      </c>
      <c r="I50" s="7" t="n">
        <v>0</v>
      </c>
      <c r="J50" s="7" t="inlineStr">
        <is>
          <t>passed</t>
        </is>
      </c>
      <c r="K50" s="7" t="inlineStr">
        <is>
          <t>—</t>
        </is>
      </c>
      <c r="L50" s="7" t="inlineStr">
        <is>
          <t>—</t>
        </is>
      </c>
      <c r="M50" s="7" t="inlineStr">
        <is>
          <t>—</t>
        </is>
      </c>
      <c r="N50" s="7" t="inlineStr">
        <is>
          <t>—</t>
        </is>
      </c>
      <c r="O50" s="7" t="inlineStr"/>
      <c r="P50" s="7" t="inlineStr">
        <is>
          <t>reports/verification/overnight/integrated/logs/constrained_validate.log</t>
        </is>
      </c>
      <c r="Q50" s="7" t="inlineStr"/>
    </row>
    <row r="51">
      <c r="A51" s="7" t="inlineStr">
        <is>
          <t>History (earlier ledger; failures preserved)</t>
        </is>
      </c>
      <c r="B51" s="7" t="inlineStr">
        <is>
          <t>overnight</t>
        </is>
      </c>
      <c r="C51" s="7" t="inlineStr">
        <is>
          <t>I parity: incumbent default path, TEMP output</t>
        </is>
      </c>
      <c r="D51" s="7" t="inlineStr">
        <is>
          <t>uv run python scripts/serving_parity.py --output &lt;scratch&gt;/i-parity/serving_parity.json</t>
        </is>
      </c>
      <c r="E51" s="7" t="inlineStr">
        <is>
          <t>c9b610085a</t>
        </is>
      </c>
      <c r="F51" s="7" t="inlineStr">
        <is>
          <t>recorded data</t>
        </is>
      </c>
      <c r="G51" s="10" t="n">
        <v>46316.92109953704</v>
      </c>
      <c r="H51" s="10" t="n">
        <v>46316.92151620371</v>
      </c>
      <c r="I51" s="7" t="n">
        <v>0</v>
      </c>
      <c r="J51" s="7" t="inlineStr">
        <is>
          <t>passed</t>
        </is>
      </c>
      <c r="K51" s="7" t="inlineStr">
        <is>
          <t>—</t>
        </is>
      </c>
      <c r="L51" s="7" t="inlineStr">
        <is>
          <t>—</t>
        </is>
      </c>
      <c r="M51" s="7" t="inlineStr">
        <is>
          <t>—</t>
        </is>
      </c>
      <c r="N51" s="7" t="inlineStr">
        <is>
          <t>—</t>
        </is>
      </c>
      <c r="O51" s="7" t="inlineStr"/>
      <c r="P51" s="7" t="inlineStr">
        <is>
          <t>reports/verification/overnight/integrated/logs/parity-default-temp.log</t>
        </is>
      </c>
      <c r="Q51" s="7" t="inlineStr"/>
    </row>
    <row r="52">
      <c r="A52" s="7" t="inlineStr">
        <is>
          <t>History (earlier ledger; failures preserved)</t>
        </is>
      </c>
      <c r="B52" s="7" t="inlineStr">
        <is>
          <t>overnight</t>
        </is>
      </c>
      <c r="C52" s="7" t="inlineStr">
        <is>
          <t>I candidate serving parity</t>
        </is>
      </c>
      <c r="D52" s="7" t="inlineStr"/>
      <c r="E52" s="7" t="inlineStr">
        <is>
          <t>b2d76b3b8c</t>
        </is>
      </c>
      <c r="F52" s="7" t="inlineStr">
        <is>
          <t>recorded data</t>
        </is>
      </c>
      <c r="G52" s="10" t="n">
        <v>46316.92193287037</v>
      </c>
      <c r="H52" s="10" t="n"/>
      <c r="I52" s="7" t="n"/>
      <c r="J52" s="7" t="inlineStr">
        <is>
          <t>not run</t>
        </is>
      </c>
      <c r="K52" s="7" t="inlineStr">
        <is>
          <t>—</t>
        </is>
      </c>
      <c r="L52" s="7" t="inlineStr">
        <is>
          <t>—</t>
        </is>
      </c>
      <c r="M52" s="7" t="inlineStr">
        <is>
          <t>—</t>
        </is>
      </c>
      <c r="N52" s="7" t="inlineStr">
        <is>
          <t>—</t>
        </is>
      </c>
      <c r="O52" s="7" t="inlineStr"/>
      <c r="P52" s="7" t="inlineStr"/>
      <c r="Q52" s="7" t="inlineStr"/>
    </row>
    <row r="53">
      <c r="A53" s="7" t="inlineStr">
        <is>
          <t>History (earlier ledger; failures preserved)</t>
        </is>
      </c>
      <c r="B53" s="7" t="inlineStr">
        <is>
          <t>overnight</t>
        </is>
      </c>
      <c r="C53" s="7" t="inlineStr">
        <is>
          <t>I diagnosis: pytest evidence_manifest failures</t>
        </is>
      </c>
      <c r="D53" s="7" t="inlineStr"/>
      <c r="E53" s="7" t="inlineStr">
        <is>
          <t>b2d76b3b8c</t>
        </is>
      </c>
      <c r="F53" s="7" t="inlineStr">
        <is>
          <t>local</t>
        </is>
      </c>
      <c r="G53" s="10" t="n">
        <v>46316.92193287037</v>
      </c>
      <c r="H53" s="10" t="n"/>
      <c r="I53" s="7" t="n"/>
      <c r="J53" s="7" t="inlineStr">
        <is>
          <t>failed</t>
        </is>
      </c>
      <c r="K53" s="7" t="inlineStr">
        <is>
          <t>—</t>
        </is>
      </c>
      <c r="L53" s="7" t="inlineStr">
        <is>
          <t>—</t>
        </is>
      </c>
      <c r="M53" s="7" t="inlineStr">
        <is>
          <t>—</t>
        </is>
      </c>
      <c r="N53" s="7" t="inlineStr">
        <is>
          <t>—</t>
        </is>
      </c>
      <c r="O53" s="7" t="inlineStr"/>
      <c r="P53" s="7" t="inlineStr"/>
      <c r="Q53" s="7" t="inlineStr"/>
    </row>
    <row r="54">
      <c r="A54" s="7" t="inlineStr">
        <is>
          <t>History (earlier ledger; failures preserved)</t>
        </is>
      </c>
      <c r="B54" s="7" t="inlineStr">
        <is>
          <t>overnight</t>
        </is>
      </c>
      <c r="C54" s="7" t="inlineStr">
        <is>
          <t>I note: tracked side effects</t>
        </is>
      </c>
      <c r="D54" s="7" t="inlineStr"/>
      <c r="E54" s="7" t="inlineStr">
        <is>
          <t>b2d76b3b8c</t>
        </is>
      </c>
      <c r="F54" s="7" t="inlineStr">
        <is>
          <t>local</t>
        </is>
      </c>
      <c r="G54" s="10" t="n">
        <v>46316.92193287037</v>
      </c>
      <c r="H54" s="10" t="n"/>
      <c r="I54" s="7" t="n"/>
      <c r="J54" s="7" t="inlineStr">
        <is>
          <t>passed</t>
        </is>
      </c>
      <c r="K54" s="7" t="inlineStr">
        <is>
          <t>—</t>
        </is>
      </c>
      <c r="L54" s="7" t="inlineStr">
        <is>
          <t>—</t>
        </is>
      </c>
      <c r="M54" s="7" t="inlineStr">
        <is>
          <t>—</t>
        </is>
      </c>
      <c r="N54" s="7" t="inlineStr">
        <is>
          <t>—</t>
        </is>
      </c>
      <c r="O54" s="7" t="inlineStr"/>
      <c r="P54" s="7" t="inlineStr"/>
      <c r="Q54" s="7" t="inlineStr"/>
    </row>
    <row r="55">
      <c r="A55" s="7" t="inlineStr">
        <is>
          <t>Author-reported (logs not saved)</t>
        </is>
      </c>
      <c r="B55" s="7" t="inlineStr">
        <is>
          <t>fresh clone, 23 Oct</t>
        </is>
      </c>
      <c r="C55" s="7" t="inlineStr">
        <is>
          <t>pytest / vitest / e2e on a fresh clone</t>
        </is>
      </c>
      <c r="D55" s="7" t="inlineStr">
        <is>
          <t>make test; make test-web; make e2e</t>
        </is>
      </c>
      <c r="E55" s="7" t="inlineStr">
        <is>
          <t>unknown</t>
        </is>
      </c>
      <c r="F55" s="7" t="inlineStr">
        <is>
          <t>synthetic</t>
        </is>
      </c>
      <c r="G55" s="7" t="n"/>
      <c r="H55" s="7" t="n"/>
      <c r="I55" s="7" t="inlineStr">
        <is>
          <t>—</t>
        </is>
      </c>
      <c r="J55" s="7" t="inlineStr">
        <is>
          <t>author-reported</t>
        </is>
      </c>
      <c r="K55" s="7" t="inlineStr">
        <is>
          <t>—</t>
        </is>
      </c>
      <c r="L55" s="7" t="inlineStr">
        <is>
          <t>vitest 141; e2e 16</t>
        </is>
      </c>
      <c r="M55" s="7" t="inlineStr">
        <is>
          <t>—</t>
        </is>
      </c>
      <c r="N55" s="7" t="inlineStr">
        <is>
          <t>e2e 13</t>
        </is>
      </c>
      <c r="O55" s="7" t="inlineStr">
        <is>
          <t>—</t>
        </is>
      </c>
      <c r="P55" s="7" t="inlineStr">
        <is>
          <t>not saved</t>
        </is>
      </c>
      <c r="Q55" s="7" t="inlineStr">
        <is>
          <t>not saved</t>
        </is>
      </c>
    </row>
    <row r="56">
      <c r="A56" s="7" t="inlineStr">
        <is>
          <t>Author-reported (no saved CI log)</t>
        </is>
      </c>
      <c r="B56" s="7" t="inlineStr">
        <is>
          <t>GitHub Actions CI</t>
        </is>
      </c>
      <c r="C56" s="7" t="inlineStr">
        <is>
          <t>ruff, pytest, web jobs</t>
        </is>
      </c>
      <c r="D56" s="7" t="inlineStr">
        <is>
          <t>.github/workflows/ci.yml</t>
        </is>
      </c>
      <c r="E56" s="7" t="inlineStr">
        <is>
          <t>—</t>
        </is>
      </c>
      <c r="F56" s="7" t="inlineStr">
        <is>
          <t>synthetic</t>
        </is>
      </c>
      <c r="G56" s="7" t="n"/>
      <c r="H56" s="7" t="n"/>
      <c r="I56" s="7" t="inlineStr">
        <is>
          <t>—</t>
        </is>
      </c>
      <c r="J56" s="7" t="inlineStr">
        <is>
          <t>author-reported</t>
        </is>
      </c>
      <c r="K56" s="7" t="inlineStr">
        <is>
          <t>—</t>
        </is>
      </c>
      <c r="L56" s="7" t="inlineStr">
        <is>
          <t>—</t>
        </is>
      </c>
      <c r="M56" s="7" t="inlineStr">
        <is>
          <t>—</t>
        </is>
      </c>
      <c r="N56" s="7" t="inlineStr">
        <is>
          <t>—</t>
        </is>
      </c>
      <c r="O56" s="7" t="inlineStr">
        <is>
          <t>—</t>
        </is>
      </c>
      <c r="P56" s="7" t="inlineStr">
        <is>
          <t>not saved</t>
        </is>
      </c>
      <c r="Q56" s="7" t="inlineStr">
        <is>
          <t>—</t>
        </is>
      </c>
    </row>
  </sheetData>
  <autoFilter ref="A4:Q56"/>
  <hyperlinks>
    <hyperlink xmlns:r="http://schemas.openxmlformats.org/officeDocument/2006/relationships" ref="F1" r:id="rId1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20"/>
  <sheetViews>
    <sheetView showGridLines="1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50" customWidth="1" min="2" max="2"/>
    <col width="44" customWidth="1" min="3" max="3"/>
    <col width="60" customWidth="1" min="4" max="4"/>
    <col width="22" customWidth="1" min="5" max="5"/>
    <col width="14" customWidth="1" min="6" max="6"/>
    <col width="36" customWidth="1" min="7" max="7"/>
  </cols>
  <sheetData>
    <row r="1">
      <c r="A1" s="1" t="inlineStr">
        <is>
          <t>Guardrails — non-numerical behaviour mapped to code and saved tests</t>
        </is>
      </c>
      <c r="F1" s="2" t="inlineStr">
        <is>
          <t>← About / navigation</t>
        </is>
      </c>
    </row>
    <row r="2">
      <c r="A2" s="9" t="inlineStr">
        <is>
          <t>'tested' requires a named test that passed in the saved JUnit of the f073a10 ledger; code alone gives 'implemented'.</t>
        </is>
      </c>
    </row>
    <row r="4" ht="32" customHeight="1">
      <c r="A4" s="6" t="inlineStr">
        <is>
          <t>Guardrail</t>
        </is>
      </c>
      <c r="B4" s="6" t="inlineStr">
        <is>
          <t>Claim</t>
        </is>
      </c>
      <c r="C4" s="6" t="inlineStr">
        <is>
          <t>Code / config</t>
        </is>
      </c>
      <c r="D4" s="6" t="inlineStr">
        <is>
          <t>Test(s)</t>
        </is>
      </c>
      <c r="E4" s="6" t="inlineStr">
        <is>
          <t>Saved result (JUnit, f073a10)</t>
        </is>
      </c>
      <c r="F4" s="6" t="inlineStr">
        <is>
          <t>Status</t>
        </is>
      </c>
      <c r="G4" s="6" t="inlineStr">
        <is>
          <t>Note</t>
        </is>
      </c>
    </row>
    <row r="5">
      <c r="A5" s="7" t="inlineStr">
        <is>
          <t>Availability cutoff</t>
        </is>
      </c>
      <c r="B5" s="7" t="inlineStr">
        <is>
          <t>Only data available at the issue time is used (labs, meals, wearable, late readings)</t>
        </is>
      </c>
      <c r="C5" s="7" t="inlineStr">
        <is>
          <t>ml/glucotwin/features.py; ml/glucotwin/data/canonical.py</t>
        </is>
      </c>
      <c r="D5" s="7" t="inlineStr">
        <is>
          <t>tests.test_leakage::test_future_values_cannot_change_earlier_features
tests.test_leakage::test_late_logged_meal_is_hidden_until_available
tests.test_data_expansion::test_a_reading_released_late_is_invisible_before_its_availability</t>
        </is>
      </c>
      <c r="E5" s="7" t="inlineStr">
        <is>
          <t>passed</t>
        </is>
      </c>
      <c r="F5" s="7" t="inlineStr">
        <is>
          <t>tested</t>
        </is>
      </c>
      <c r="G5" s="7" t="inlineStr">
        <is>
          <t>Saved JUnit of the f073a10 ledger</t>
        </is>
      </c>
    </row>
    <row r="6">
      <c r="A6" s="7" t="inlineStr">
        <is>
          <t>Native readings only</t>
        </is>
      </c>
      <c r="B6" s="7" t="inlineStr">
        <is>
          <t>Interpolated 1-minute rows never count as observations</t>
        </is>
      </c>
      <c r="C6" s="7" t="inlineStr">
        <is>
          <t>ml/glucotwin/data/cgmacros.py</t>
        </is>
      </c>
      <c r="D6" s="7" t="inlineStr">
        <is>
          <t>tests.test_leakage::test_one_minute_interpolated_rows_do_not_inflate_observations</t>
        </is>
      </c>
      <c r="E6" s="7" t="inlineStr">
        <is>
          <t>passed</t>
        </is>
      </c>
      <c r="F6" s="7" t="inlineStr">
        <is>
          <t>tested</t>
        </is>
      </c>
      <c r="G6" s="7" t="inlineStr">
        <is>
          <t>Saved JUnit of the f073a10 ledger</t>
        </is>
      </c>
    </row>
    <row r="7">
      <c r="A7" s="7" t="inlineStr">
        <is>
          <t>Matured outcomes for correction</t>
        </is>
      </c>
      <c r="B7" s="7" t="inlineStr">
        <is>
          <t>The correction learns only from forecasts whose outcome is observed; never stacks</t>
        </is>
      </c>
      <c r="C7" s="7" t="inlineStr">
        <is>
          <t>ml/glucotwin/models/adaptation.py</t>
        </is>
      </c>
      <c r="D7" s="7" t="inlineStr">
        <is>
          <t>tests.test_leakage::test_sixty_minute_residual_matures_only_when_target_is_available
tests.test_leakage::test_corrections_never_stack_on_corrected_predictions</t>
        </is>
      </c>
      <c r="E7" s="7" t="inlineStr">
        <is>
          <t>passed</t>
        </is>
      </c>
      <c r="F7" s="7" t="inlineStr">
        <is>
          <t>tested</t>
        </is>
      </c>
      <c r="G7" s="7" t="inlineStr">
        <is>
          <t>Saved JUnit of the f073a10 ledger</t>
        </is>
      </c>
    </row>
    <row r="8">
      <c r="A8" s="7" t="inlineStr">
        <is>
          <t>Bounded correction</t>
        </is>
      </c>
      <c r="B8" s="7" t="inlineStr">
        <is>
          <t>≥ 6 matured outcomes, ±25 mg/dL cap, reset after a 3-h gap</t>
        </is>
      </c>
      <c r="C8" s="7" t="inlineStr">
        <is>
          <t>ml/glucotwin/models/adaptation.py; configs/experiment.yaml</t>
        </is>
      </c>
      <c r="D8" s="7" t="inlineStr">
        <is>
          <t>tests.test_replay_api::test_personalization_reports_its_bound_and_reset_gap</t>
        </is>
      </c>
      <c r="E8" s="7" t="inlineStr">
        <is>
          <t>passed</t>
        </is>
      </c>
      <c r="F8" s="7" t="inlineStr">
        <is>
          <t>tested</t>
        </is>
      </c>
      <c r="G8" s="7" t="inlineStr">
        <is>
          <t>Saved JUnit of the f073a10 ledger</t>
        </is>
      </c>
    </row>
    <row r="9">
      <c r="A9" s="7" t="inlineStr">
        <is>
          <t>Abstention</t>
        </is>
      </c>
      <c r="B9" s="7" t="inlineStr">
        <is>
          <t>No forecast with insufficient history; nulls, not guesses</t>
        </is>
      </c>
      <c r="C9" s="7" t="inlineStr">
        <is>
          <t>ml/glucotwin/features.py</t>
        </is>
      </c>
      <c r="D9" s="7" t="inlineStr">
        <is>
          <t>tests.test_replay_api::test_insufficient_history_abstains_with_nulls</t>
        </is>
      </c>
      <c r="E9" s="7" t="inlineStr">
        <is>
          <t>passed</t>
        </is>
      </c>
      <c r="F9" s="7" t="inlineStr">
        <is>
          <t>tested</t>
        </is>
      </c>
      <c r="G9" s="7" t="inlineStr">
        <is>
          <t>Saved JUnit of the f073a10 ledger</t>
        </is>
      </c>
    </row>
    <row r="10">
      <c r="A10" s="7" t="inlineStr">
        <is>
          <t>Staleness + gap recovery</t>
        </is>
      </c>
      <c r="B10" s="7" t="inlineStr">
        <is>
          <t>A real sensor gap marks the forecast stale, the twin abstains, then recovers</t>
        </is>
      </c>
      <c r="C10" s="7" t="inlineStr">
        <is>
          <t>ml/glucotwin/features.py; services/api/glucotwin_api/replay.py</t>
        </is>
      </c>
      <c r="D10" s="7" t="inlineStr">
        <is>
          <t>e2e: Participant 12: a real sensor gap, abstention without a made-up forecast, then recovery
e2e: Participant 12: stale glucose before the gap closes, then abstention</t>
        </is>
      </c>
      <c r="E10" s="7" t="inlineStr">
        <is>
          <t>passed</t>
        </is>
      </c>
      <c r="F10" s="7" t="inlineStr">
        <is>
          <t>tested</t>
        </is>
      </c>
      <c r="G10" s="7" t="inlineStr">
        <is>
          <t>Saved JUnit of the f073a10 ledger</t>
        </is>
      </c>
    </row>
    <row r="11">
      <c r="A11" s="7" t="inlineStr">
        <is>
          <t>Fusion needs its health record</t>
        </is>
      </c>
      <c r="B11" s="7" t="inlineStr">
        <is>
          <t>The profile model abstains until every profile value is available</t>
        </is>
      </c>
      <c r="C11" s="7" t="inlineStr">
        <is>
          <t>ml/glucotwin/features.py</t>
        </is>
      </c>
      <c r="D11" s="7" t="inlineStr">
        <is>
          <t>tests.test_leakage::test_profile_model_is_gated_until_every_profile_value_is_available</t>
        </is>
      </c>
      <c r="E11" s="7" t="inlineStr">
        <is>
          <t>passed</t>
        </is>
      </c>
      <c r="F11" s="7" t="inlineStr">
        <is>
          <t>tested</t>
        </is>
      </c>
      <c r="G11" s="7" t="inlineStr">
        <is>
          <t>Saved JUnit of the f073a10 ledger</t>
        </is>
      </c>
    </row>
    <row r="12">
      <c r="A12" s="7" t="inlineStr">
        <is>
          <t>Rewind / revision consistency</t>
        </is>
      </c>
      <c r="B12" s="7" t="inlineStr">
        <is>
          <t>Seeking back removes future state; forward replay equals reset + seek</t>
        </is>
      </c>
      <c r="C12" s="7" t="inlineStr">
        <is>
          <t>services/api/glucotwin_api/replay.py</t>
        </is>
      </c>
      <c r="D12" s="7" t="inlineStr">
        <is>
          <t>tests.test_replay_api::test_seek_backward_removes_future_state_and_invalidates_cursors
tests.test_replay_api::test_forward_replay_equals_reset_and_seek</t>
        </is>
      </c>
      <c r="E12" s="7" t="inlineStr">
        <is>
          <t>passed</t>
        </is>
      </c>
      <c r="F12" s="7" t="inlineStr">
        <is>
          <t>tested</t>
        </is>
      </c>
      <c r="G12" s="7" t="inlineStr">
        <is>
          <t>Saved JUnit of the f073a10 ledger</t>
        </is>
      </c>
    </row>
    <row r="13">
      <c r="A13" s="7" t="inlineStr">
        <is>
          <t>Immutable forecast identity</t>
        </is>
      </c>
      <c r="B13" s="7" t="inlineStr">
        <is>
          <t>A served forecast keeps its identity and value (parity with the saved offline forecast)</t>
        </is>
      </c>
      <c r="C13" s="7" t="inlineStr">
        <is>
          <t>services/api/glucotwin_api/replay.py; scripts/serving_parity.py</t>
        </is>
      </c>
      <c r="D13" s="7" t="inlineStr">
        <is>
          <t>tests.test_v2_preserved::test_model_bundle_reproduces_saved_adaptive_forecasts[gt-primary-2026-10-13-fusion]</t>
        </is>
      </c>
      <c r="E13" s="7" t="inlineStr">
        <is>
          <t>passed</t>
        </is>
      </c>
      <c r="F13" s="7" t="inlineStr">
        <is>
          <t>tested</t>
        </is>
      </c>
      <c r="G13" s="7" t="inlineStr">
        <is>
          <t>Saved JUnit of the f073a10 ledger</t>
        </is>
      </c>
    </row>
    <row r="14">
      <c r="A14" s="7" t="inlineStr">
        <is>
          <t>Frozen review snapshot</t>
        </is>
      </c>
      <c r="B14" s="7" t="inlineStr">
        <is>
          <t>A review summary is one session revision and clock; the copy stays frozen</t>
        </is>
      </c>
      <c r="C14" s="7" t="inlineStr">
        <is>
          <t>services/api/glucotwin_api/snapshot.py</t>
        </is>
      </c>
      <c r="D14" s="7" t="inlineStr">
        <is>
          <t>tests.test_replay_api::test_review_snapshot_is_one_session_revision_and_clock
e2e: Participant 01, Day 9 20:38: a pending warning with a long review note; the copy stays frozen</t>
        </is>
      </c>
      <c r="E14" s="7" t="inlineStr">
        <is>
          <t>passed</t>
        </is>
      </c>
      <c r="F14" s="7" t="inlineStr">
        <is>
          <t>tested</t>
        </is>
      </c>
      <c r="G14" s="7" t="inlineStr">
        <is>
          <t>Saved JUnit of the f073a10 ledger</t>
        </is>
      </c>
    </row>
    <row r="15">
      <c r="A15" s="7" t="inlineStr">
        <is>
          <t>Warning outcome pending</t>
        </is>
      </c>
      <c r="B15" s="7" t="inlineStr">
        <is>
          <t>A warning stays pending until its outcome is observable; gaps censor it</t>
        </is>
      </c>
      <c r="C15" s="7" t="inlineStr">
        <is>
          <t>ml/glucotwin/evaluation/alerts.py</t>
        </is>
      </c>
      <c r="D15" s="7" t="inlineStr">
        <is>
          <t>tests.test_corrections::test_outcome_stays_pending_until_follow_up_is_observable_and_gaps_censor_it
e2e: Participant 01: a warning is pending until its outcome is knowable</t>
        </is>
      </c>
      <c r="E15" s="7" t="inlineStr">
        <is>
          <t>passed</t>
        </is>
      </c>
      <c r="F15" s="7" t="inlineStr">
        <is>
          <t>tested</t>
        </is>
      </c>
      <c r="G15" s="7" t="inlineStr">
        <is>
          <t>Saved JUnit of the f073a10 ledger</t>
        </is>
      </c>
    </row>
    <row r="16">
      <c r="A16" s="7" t="inlineStr">
        <is>
          <t>Visitor isolation (public mode)</t>
        </is>
      </c>
      <c r="B16" s="7" t="inlineStr">
        <is>
          <t>Each browser sees and controls only its own replays</t>
        </is>
      </c>
      <c r="C16" s="7" t="inlineStr">
        <is>
          <t>services/api/glucotwin_api/public.py</t>
        </is>
      </c>
      <c r="D16" s="7" t="inlineStr">
        <is>
          <t>tests.test_public_demo::test_visitors_cannot_see_or_drive_each_others_sessions
e2e: two simultaneous visitors cannot see or control each other's replays</t>
        </is>
      </c>
      <c r="E16" s="7" t="inlineStr">
        <is>
          <t>passed</t>
        </is>
      </c>
      <c r="F16" s="7" t="inlineStr">
        <is>
          <t>tested</t>
        </is>
      </c>
      <c r="G16" s="7" t="inlineStr">
        <is>
          <t>Saved JUnit of the f073a10 ledger</t>
        </is>
      </c>
    </row>
    <row r="17">
      <c r="A17" s="7" t="inlineStr">
        <is>
          <t>Synthetic labelling</t>
        </is>
      </c>
      <c r="B17" s="7" t="inlineStr">
        <is>
          <t>Public mode serves synthetic participants only and labels them</t>
        </is>
      </c>
      <c r="C17" s="7" t="inlineStr">
        <is>
          <t>services/api/glucotwin_api/public.py</t>
        </is>
      </c>
      <c r="D17" s="7" t="inlineStr">
        <is>
          <t>tests.test_public_demo::test_synthetic_only
e2e: a fresh visitor sees the public synthetic demonstration, labelled as such</t>
        </is>
      </c>
      <c r="E17" s="7" t="inlineStr">
        <is>
          <t>passed</t>
        </is>
      </c>
      <c r="F17" s="7" t="inlineStr">
        <is>
          <t>tested</t>
        </is>
      </c>
      <c r="G17" s="7" t="inlineStr">
        <is>
          <t>Saved JUnit of the f073a10 ledger</t>
        </is>
      </c>
    </row>
    <row r="18">
      <c r="A18" s="7" t="inlineStr">
        <is>
          <t>Test lock / no quiet re-run</t>
        </is>
      </c>
      <c r="B18" s="7" t="inlineStr">
        <is>
          <t>Editing a frozen protocol is refused; opened tests need a reason to re-run</t>
        </is>
      </c>
      <c r="C18" s="7" t="inlineStr">
        <is>
          <t>ml/glucotwin/research/assess.py</t>
        </is>
      </c>
      <c r="D18" s="7" t="inlineStr">
        <is>
          <t>tests.test_research_pipeline::test_editing_a_frozen_protocol_is_refused</t>
        </is>
      </c>
      <c r="E18" s="7" t="inlineStr">
        <is>
          <t>passed</t>
        </is>
      </c>
      <c r="F18" s="7" t="inlineStr">
        <is>
          <t>tested</t>
        </is>
      </c>
      <c r="G18" s="7" t="inlineStr">
        <is>
          <t>Saved JUnit of the f073a10 ledger</t>
        </is>
      </c>
    </row>
    <row r="19">
      <c r="A19" s="7" t="inlineStr">
        <is>
          <t>Unknown is not zero</t>
        </is>
      </c>
      <c r="B19" s="7" t="inlineStr">
        <is>
          <t>Zero onsets/warnings give unavailable metrics; unknown queue counts are never shown as zero</t>
        </is>
      </c>
      <c r="C19" s="7" t="inlineStr">
        <is>
          <t>ml/glucotwin/research/metrics.py</t>
        </is>
      </c>
      <c r="D19" s="7" t="inlineStr">
        <is>
          <t>tests.test_research_units::test_zero_onsets_and_zero_warnings_give_unavailable_not_perfect_metrics
e2e: queue: two replays are counted separately; an unknown count is never shown as zero</t>
        </is>
      </c>
      <c r="E19" s="7" t="inlineStr">
        <is>
          <t>passed</t>
        </is>
      </c>
      <c r="F19" s="7" t="inlineStr">
        <is>
          <t>tested</t>
        </is>
      </c>
      <c r="G19" s="7" t="inlineStr">
        <is>
          <t>Saved JUnit of the f073a10 ledger</t>
        </is>
      </c>
    </row>
    <row r="20">
      <c r="A20" s="7" t="inlineStr">
        <is>
          <t>No treatment advice / no LLM predictions</t>
        </is>
      </c>
      <c r="B20" s="7" t="inlineStr">
        <is>
          <t>No insulin advice, triage or LLM-generated predictions</t>
        </is>
      </c>
      <c r="C20" s="7" t="inlineStr">
        <is>
          <t>apps/web; services/api (code inspection)</t>
        </is>
      </c>
      <c r="D20" s="7" t="inlineStr">
        <is>
          <t>—</t>
        </is>
      </c>
      <c r="E20" s="7" t="inlineStr">
        <is>
          <t>no test cited</t>
        </is>
      </c>
      <c r="F20" s="7" t="inlineStr">
        <is>
          <t>implemented</t>
        </is>
      </c>
      <c r="G20" s="7" t="inlineStr">
        <is>
          <t>Absence of a feature; code inspection only</t>
        </is>
      </c>
    </row>
  </sheetData>
  <autoFilter ref="A4:G20"/>
  <hyperlinks>
    <hyperlink xmlns:r="http://schemas.openxmlformats.org/officeDocument/2006/relationships" ref="F1" r:id="rId1"/>
  </hyperlink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1" t="inlineStr">
        <is>
          <t>GlucoTwin research evidence workbook</t>
        </is>
      </c>
    </row>
    <row r="3">
      <c r="A3" s="4" t="inlineStr">
        <is>
          <t>Built</t>
        </is>
      </c>
      <c r="B3" s="21" t="inlineStr">
        <is>
          <t>2026-10-24 08:26 UTC from repository HEAD 07a7eac (working tree may differ)</t>
        </is>
      </c>
    </row>
    <row r="4">
      <c r="A4" s="4" t="inlineStr">
        <is>
          <t>What it is</t>
        </is>
      </c>
      <c r="B4" s="21" t="inlineStr">
        <is>
          <t>A judge-readable evidence companion: every public claim → saved source value → visible calculation. Not a new experiment; nothing was fitted or re-opened to build it.</t>
        </is>
      </c>
    </row>
    <row r="5">
      <c r="A5" s="4" t="inlineStr">
        <is>
          <t>Not</t>
        </is>
      </c>
      <c r="B5" s="21" t="inlineStr">
        <is>
          <t>Not clinical validation. A source match shows a number was reported faithfully, not that GlucoTwin helps patients.</t>
        </is>
      </c>
    </row>
    <row r="6">
      <c r="A6" s="4" t="inlineStr">
        <is>
          <t>Serving test wording</t>
        </is>
      </c>
      <c r="B6" s="21" t="inlineStr">
        <is>
          <t>Later recordings of the same 14 people (final test segment) — never 'unseen patients'.</t>
        </is>
      </c>
    </row>
    <row r="7">
      <c r="A7" s="4" t="inlineStr">
        <is>
          <t>Missing evidence</t>
        </is>
      </c>
      <c r="B7" s="21" t="inlineStr">
        <is>
          <t>'unavailable' / 'not opened' / 'pending' are shown as text, never as 0.</t>
        </is>
      </c>
    </row>
    <row r="8">
      <c r="A8" s="4" t="inlineStr">
        <is>
          <t>Provenance</t>
        </is>
      </c>
      <c r="B8" s="21" t="inlineStr">
        <is>
          <t>Most full artifacts are git-ignored (artifacts/): marked 'local / reproducible-only'. Values are stored here with locators and SHA-256 so they can be checked after re-running the recorded-data path.</t>
        </is>
      </c>
    </row>
    <row r="9">
      <c r="A9" s="4" t="inlineStr">
        <is>
          <t>Rebuild</t>
        </is>
      </c>
      <c r="B9" s="21" t="inlineStr">
        <is>
          <t>uv run --group docs python scripts/build_research_workbook.py ; check: uv run --group docs python scripts/check_research_workbook.py</t>
        </is>
      </c>
    </row>
    <row r="10">
      <c r="A10" s="4" t="inlineStr">
        <is>
          <t>Method note</t>
        </is>
      </c>
      <c r="B10" s="21" t="inlineStr">
        <is>
          <t>docs/submission/GlucoTwin_Research_Workbook_Methodology.md</t>
        </is>
      </c>
    </row>
    <row r="12">
      <c r="A12" s="5" t="inlineStr">
        <is>
          <t>Sheets</t>
        </is>
      </c>
    </row>
    <row r="13">
      <c r="A13" s="2" t="inlineStr">
        <is>
          <t>ClaimIndex</t>
        </is>
      </c>
      <c r="B13" t="inlineStr">
        <is>
          <t>Primary view: claims, status, evidence, checks</t>
        </is>
      </c>
    </row>
    <row r="14">
      <c r="A14" s="2" t="inlineStr">
        <is>
          <t>Sources</t>
        </is>
      </c>
      <c r="B14" t="inlineStr">
        <is>
          <t>Every source value once, with locator and hash</t>
        </is>
      </c>
    </row>
    <row r="15">
      <c r="A15" s="2" t="inlineStr">
        <is>
          <t>Cohorts</t>
        </is>
      </c>
      <c r="B15" t="inlineStr">
        <is>
          <t>Who each result counts</t>
        </is>
      </c>
    </row>
    <row r="16">
      <c r="A16" s="2" t="inlineStr">
        <is>
          <t>Forecasts</t>
        </is>
      </c>
      <c r="B16" t="inlineStr">
        <is>
          <t>Errors by evaluation, model and horizon (+ chart)</t>
        </is>
      </c>
    </row>
    <row r="17">
      <c r="A17" s="2" t="inlineStr">
        <is>
          <t>WarningRanges</t>
        </is>
      </c>
      <c r="B17" t="inlineStr">
        <is>
          <t>Warning denominators, notice shares, range coverage (+ chart)</t>
        </is>
      </c>
    </row>
    <row r="18">
      <c r="A18" s="2" t="inlineStr">
        <is>
          <t>Studies</t>
        </is>
      </c>
      <c r="B18" t="inlineStr">
        <is>
          <t>D-032, D-043 … D-054 ledger incl. negative and unopened results</t>
        </is>
      </c>
    </row>
    <row r="19">
      <c r="A19" s="2" t="inlineStr">
        <is>
          <t>Gates</t>
        </is>
      </c>
      <c r="B19" t="inlineStr">
        <is>
          <t>Declared gates on unrounded values</t>
        </is>
      </c>
    </row>
    <row r="20">
      <c r="A20" s="2" t="inlineStr">
        <is>
          <t>Verification</t>
        </is>
      </c>
      <c r="B20" t="inlineStr">
        <is>
          <t>Test runs, commits, logs; author-reported rows marked</t>
        </is>
      </c>
    </row>
    <row r="21">
      <c r="A21" s="2" t="inlineStr">
        <is>
          <t>Guardrails</t>
        </is>
      </c>
      <c r="B21" t="inlineStr">
        <is>
          <t>Behaviour → code → saved test</t>
        </is>
      </c>
    </row>
    <row r="23">
      <c r="A23" s="5" t="inlineStr">
        <is>
          <t>Status meanings</t>
        </is>
      </c>
    </row>
    <row r="24">
      <c r="A24" t="inlineStr">
        <is>
          <t>supported</t>
        </is>
      </c>
      <c r="B24" s="21" t="inlineStr">
        <is>
          <t>The stated value or fact matches a saved artifact, report or dataset record named in Sources.</t>
        </is>
      </c>
    </row>
    <row r="25">
      <c r="A25" t="inlineStr">
        <is>
          <t>supported-arithmetic</t>
        </is>
      </c>
      <c r="B25" s="21" t="inlineStr">
        <is>
          <t>Follows by arithmetic from stated definitions (formula shown); no experiment involved.</t>
        </is>
      </c>
    </row>
    <row r="26">
      <c r="A26" t="inlineStr">
        <is>
          <t>tested</t>
        </is>
      </c>
      <c r="B26" s="21" t="inlineStr">
        <is>
          <t>Behaviour covered by a test that passed in the saved test record (JUnit) named in the row.</t>
        </is>
      </c>
    </row>
    <row r="27">
      <c r="A27" t="inlineStr">
        <is>
          <t>implemented</t>
        </is>
      </c>
      <c r="B27" s="21" t="inlineStr">
        <is>
          <t>Present in code or configuration only; no saved passing test is cited for the behaviour.</t>
        </is>
      </c>
    </row>
    <row r="28">
      <c r="A28" t="inlineStr">
        <is>
          <t>negative-result</t>
        </is>
      </c>
      <c r="B28" s="21" t="inlineStr">
        <is>
          <t>A saved study result that did not meet its declared bar; reported as negative, not as a gain.</t>
        </is>
      </c>
    </row>
    <row r="29">
      <c r="A29" t="inlineStr">
        <is>
          <t>author-reported</t>
        </is>
      </c>
      <c r="B29" s="21" t="inlineStr">
        <is>
          <t>Stated by the team without a saved log, artifact or primary source in the repository.</t>
        </is>
      </c>
    </row>
    <row r="30">
      <c r="A30" t="inlineStr">
        <is>
          <t>proposed/illustrative</t>
        </is>
      </c>
      <c r="B30" s="21" t="inlineStr">
        <is>
          <t>A proposal, scenario or illustration; not an evidential claim.</t>
        </is>
      </c>
    </row>
    <row r="31">
      <c r="A31" t="inlineStr">
        <is>
          <t>pending</t>
        </is>
      </c>
      <c r="B31" s="21" t="inlineStr">
        <is>
          <t>Evidence is not on this installation or a primary-source check is still to be done.</t>
        </is>
      </c>
    </row>
    <row r="32">
      <c r="A32" t="inlineStr">
        <is>
          <t>unsupported/contradicted</t>
        </is>
      </c>
      <c r="B32" s="21" t="inlineStr">
        <is>
          <t>The saved source disagrees with the stated value, or no support exists.</t>
        </is>
      </c>
    </row>
  </sheetData>
  <hyperlinks>
    <hyperlink xmlns:r="http://schemas.openxmlformats.org/officeDocument/2006/relationships" ref="A13" r:id="rId1"/>
    <hyperlink xmlns:r="http://schemas.openxmlformats.org/officeDocument/2006/relationships" ref="A14" r:id="rId2"/>
    <hyperlink xmlns:r="http://schemas.openxmlformats.org/officeDocument/2006/relationships" ref="A15" r:id="rId3"/>
    <hyperlink xmlns:r="http://schemas.openxmlformats.org/officeDocument/2006/relationships" ref="A16" r:id="rId4"/>
    <hyperlink xmlns:r="http://schemas.openxmlformats.org/officeDocument/2006/relationships" ref="A17" r:id="rId5"/>
    <hyperlink xmlns:r="http://schemas.openxmlformats.org/officeDocument/2006/relationships" ref="A18" r:id="rId6"/>
    <hyperlink xmlns:r="http://schemas.openxmlformats.org/officeDocument/2006/relationships" ref="A19" r:id="rId7"/>
    <hyperlink xmlns:r="http://schemas.openxmlformats.org/officeDocument/2006/relationships" ref="A20" r:id="rId8"/>
    <hyperlink xmlns:r="http://schemas.openxmlformats.org/officeDocument/2006/relationships" ref="A21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2026-10-24T08:26:48Z</dcterms:created>
  <dcterms:modified xmlns:dcterms="http://purl.org/dc/terms/" xmlns:xsi="http://www.w3.org/2001/XMLSchema-instance" xsi:type="dcterms:W3CDTF">2026-10-24T08:26:49Z</dcterms:modified>
</cp:coreProperties>
</file>